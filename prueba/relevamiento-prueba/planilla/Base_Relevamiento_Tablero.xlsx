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blero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ontactos" sheetId="4" state="visible" r:id="rId4"/>
    <sheet xmlns:r="http://schemas.openxmlformats.org/officeDocument/2006/relationships" name="Diccio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A4E54"/>
      <sz val="10"/>
    </font>
    <font>
      <name val="Arial"/>
      <b val="1"/>
      <color rgb="001C1E21"/>
      <sz val="18"/>
    </font>
    <font>
      <name val="Arial"/>
      <b val="1"/>
      <color rgb="001A588F"/>
      <sz val="12"/>
    </font>
    <font>
      <name val="Arial"/>
      <b val="1"/>
      <sz val="10"/>
    </font>
    <font>
      <name val="Arial"/>
      <b val="1"/>
      <color rgb="000000FF"/>
      <sz val="10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1C1E21"/>
      </patternFill>
    </fill>
    <fill>
      <patternFill patternType="solid">
        <fgColor rgb="00E3EDF8"/>
      </patternFill>
    </fill>
    <fill>
      <patternFill patternType="solid">
        <fgColor rgb="00FFFF00"/>
      </patternFill>
    </fill>
    <fill>
      <patternFill patternType="solid">
        <fgColor rgb="00EDE9DF"/>
      </patternFill>
    </fill>
  </fills>
  <borders count="2">
    <border>
      <left/>
      <right/>
      <top/>
      <bottom/>
      <diagonal/>
    </border>
    <border>
      <bottom style="thin">
        <color rgb="00CFC8B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1" fontId="6" fillId="3" borderId="0" pivotButton="0" quotePrefix="0" xfId="0"/>
    <xf numFmtId="164" fontId="6" fillId="3" borderId="0" pivotButton="0" quotePrefix="0" xfId="0"/>
    <xf numFmtId="0" fontId="7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1" pivotButton="0" quotePrefix="0" xfId="0"/>
    <xf numFmtId="166" fontId="2" fillId="0" borderId="1" pivotButton="0" quotePrefix="0" xfId="0"/>
    <xf numFmtId="0" fontId="6" fillId="5" borderId="0" pivotButton="0" quotePrefix="0" xfId="0"/>
    <xf numFmtId="0" fontId="8" fillId="5" borderId="0" pivotButton="0" quotePrefix="0" xfId="0"/>
    <xf numFmtId="166" fontId="8" fillId="0" borderId="1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Riesgo de diabetes a 10 años (FINDRISK)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EED59B"/>
              </a:solidFill>
              <a:ln xmlns:a="http://schemas.openxmlformats.org/drawingml/2006/main">
                <a:solidFill>
                  <a:srgbClr val="EED59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EA553"/>
              </a:solidFill>
              <a:ln xmlns:a="http://schemas.openxmlformats.org/drawingml/2006/main">
                <a:solidFill>
                  <a:srgbClr val="DEA553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A7322"/>
              </a:solidFill>
              <a:ln xmlns:a="http://schemas.openxmlformats.org/drawingml/2006/main">
                <a:solidFill>
                  <a:srgbClr val="CA7322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44C1D"/>
              </a:solidFill>
              <a:ln xmlns:a="http://schemas.openxmlformats.org/drawingml/2006/main">
                <a:solidFill>
                  <a:srgbClr val="A44C1D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72C1A"/>
              </a:solidFill>
              <a:ln xmlns:a="http://schemas.openxmlformats.org/drawingml/2006/main">
                <a:solidFill>
                  <a:srgbClr val="772C1A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'Tablero'!$B$39:$B$43</f>
            </numRef>
          </cat>
          <val>
            <numRef>
              <f>'Tablero'!$C$39:$C$43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Riesgo cardiovascular a 10 años (Framingham con IMC)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EED59B"/>
              </a:solidFill>
              <a:ln xmlns:a="http://schemas.openxmlformats.org/drawingml/2006/main">
                <a:solidFill>
                  <a:srgbClr val="EED59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A7322"/>
              </a:solidFill>
              <a:ln xmlns:a="http://schemas.openxmlformats.org/drawingml/2006/main">
                <a:solidFill>
                  <a:srgbClr val="CA7322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72C1A"/>
              </a:solidFill>
              <a:ln xmlns:a="http://schemas.openxmlformats.org/drawingml/2006/main">
                <a:solidFill>
                  <a:srgbClr val="772C1A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'Tablero'!$B$53:$B$55</f>
            </numRef>
          </cat>
          <val>
            <numRef>
              <f>'Tablero'!$C$53:$C$55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 nutricional según IMC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EED59B"/>
              </a:solidFill>
              <a:ln xmlns:a="http://schemas.openxmlformats.org/drawingml/2006/main">
                <a:solidFill>
                  <a:srgbClr val="EED59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A588F"/>
              </a:solidFill>
              <a:ln xmlns:a="http://schemas.openxmlformats.org/drawingml/2006/main">
                <a:solidFill>
                  <a:srgbClr val="1A588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A7322"/>
              </a:solidFill>
              <a:ln xmlns:a="http://schemas.openxmlformats.org/drawingml/2006/main">
                <a:solidFill>
                  <a:srgbClr val="CA7322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72C1A"/>
              </a:solidFill>
              <a:ln xmlns:a="http://schemas.openxmlformats.org/drawingml/2006/main">
                <a:solidFill>
                  <a:srgbClr val="772C1A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'Tablero'!$B$67:$B$70</f>
            </numRef>
          </cat>
          <val>
            <numRef>
              <f>'Tablero'!$C$67:$C$70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Prevalencias (% de quienes respondieron)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numFmt formatCode="0%"/>
            <showLegendKey val="0"/>
            <showVal val="1"/>
            <showCatName val="0"/>
            <showSerName val="0"/>
            <showPercent val="0"/>
          </dLbls>
          <cat>
            <numRef>
              <f>'Tablero'!$B$80:$B$90</f>
            </numRef>
          </cat>
          <val>
            <numRef>
              <f>'Tablero'!$E$80:$E$90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Lugar de nacimiento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'Tablero'!$B$102:$B$106</f>
            </numRef>
          </cat>
          <val>
            <numRef>
              <f>'Tablero'!$C$102:$C$106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Máximo nivel educativo alcanzado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'Tablero'!$B$116:$B$122</f>
            </numRef>
          </cat>
          <val>
            <numRef>
              <f>'Tablero'!$C$116:$C$122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Recorrido que realiza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'Tablero'!$B$132:$B$134</f>
            </numRef>
          </cat>
          <val>
            <numRef>
              <f>'Tablero'!$C$132:$C$134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Relación laboral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'Tablero'!$B$146:$B$148</f>
            </numRef>
          </cat>
          <val>
            <numRef>
              <f>'Tablero'!$C$146:$C$148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 de las rutas en Jujuy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'Tablero'!$B$160:$B$164</f>
            </numRef>
          </cat>
          <val>
            <numRef>
              <f>'Tablero'!$C$160:$C$164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 lo que gana, ¿llega a fin de mes?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'Tablero'!$B$174:$B$176</f>
            </numRef>
          </cat>
          <val>
            <numRef>
              <f>'Tablero'!$C$174:$C$176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Cobertura médica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'Tablero'!$B$189:$B$192</f>
            </numRef>
          </cat>
          <val>
            <numRef>
              <f>'Tablero'!$C$189:$C$192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Dónde come durante los viajes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'Tablero'!$B$203:$B$207</f>
            </numRef>
          </cat>
          <val>
            <numRef>
              <f>'Tablero'!$C$203:$C$207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Bebidas energéticas en viaje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A588F"/>
            </a:solidFill>
            <a:ln xmlns:a="http://schemas.openxmlformats.org/drawingml/2006/main">
              <a:solidFill>
                <a:srgbClr val="1A588F"/>
              </a:solidFill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'Tablero'!$B$217:$B$223</f>
            </numRef>
          </cat>
          <val>
            <numRef>
              <f>'Tablero'!$C$217:$C$223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Instrumento</author>
  </authors>
  <commentList>
    <comment ref="A1" authorId="0" shapeId="0">
      <text>
        <t>Identificador único del relevamiento (generado por la app)</t>
      </text>
    </comment>
    <comment ref="B1" authorId="0" shapeId="0">
      <text>
        <t>ID interno del participante (equipo, dispositivo y N° de orden)</t>
      </text>
    </comment>
    <comment ref="C1" authorId="0" shapeId="0">
      <text>
        <t>Código de identificación (orden-edad-código postal)</t>
      </text>
    </comment>
    <comment ref="D1" authorId="0" shapeId="0">
      <text>
        <t>Número de orden</t>
      </text>
    </comment>
    <comment ref="E1" authorId="0" shapeId="0">
      <text>
        <t>Edad (años cumplidos)</t>
      </text>
    </comment>
    <comment ref="F1" authorId="0" shapeId="0">
      <text>
        <t>Código postal</t>
      </text>
    </comment>
    <comment ref="G1" authorId="0" shapeId="0">
      <text>
        <t>Fecha del relevamiento (AAAA-MM-DD)</t>
      </text>
    </comment>
    <comment ref="H1" authorId="0" shapeId="0">
      <text>
        <t>Hora de inicio</t>
      </text>
    </comment>
    <comment ref="I1" authorId="0" shapeId="0">
      <text>
        <t>Hora de cierre</t>
      </text>
    </comment>
    <comment ref="J1" authorId="0" shapeId="0">
      <text>
        <t>Equipo</t>
      </text>
    </comment>
    <comment ref="K1" authorId="0" shapeId="0">
      <text>
        <t>Dispositivo</t>
      </text>
    </comment>
    <comment ref="L1" authorId="0" shapeId="0">
      <text>
        <t>Encuestador/a</t>
      </text>
    </comment>
    <comment ref="M1" authorId="0" shapeId="0">
      <text>
        <t>Puesto o lugar de relevamiento</t>
      </text>
    </comment>
    <comment ref="N1" authorId="0" shapeId="0">
      <text>
        <t>Consentimiento informado</t>
      </text>
    </comment>
    <comment ref="O1" authorId="0" shapeId="0">
      <text>
        <t>Acepta compartir con la app de camioneros</t>
      </text>
    </comment>
    <comment ref="P1" authorId="0" shapeId="0">
      <text>
        <t>Preguntas sociodemográficas respondidas</t>
      </text>
    </comment>
    <comment ref="Q1" authorId="0" shapeId="0">
      <text>
        <t>Módulo sociodemográfico completo</t>
      </text>
    </comment>
    <comment ref="R1" authorId="0" shapeId="0">
      <text>
        <t>Módulo biológico completo</t>
      </text>
    </comment>
    <comment ref="S1" authorId="0" shapeId="0">
      <text>
        <t>Glucometría realizada</t>
      </text>
    </comment>
    <comment ref="T1" authorId="0" shapeId="0">
      <text>
        <t>Estado del relevamiento</t>
      </text>
    </comment>
    <comment ref="U1" authorId="0" shapeId="0">
      <text>
        <t>Versión del instrumento</t>
      </text>
    </comment>
    <comment ref="V1" authorId="0" shapeId="0">
      <text>
        <t>Última modificación (fecha y hora)</t>
      </text>
    </comment>
    <comment ref="W1" authorId="0" shapeId="0">
      <text>
        <t>1. Lugar de nacimiento</t>
      </text>
    </comment>
    <comment ref="X1" authorId="0" shapeId="0">
      <text>
        <t>1. Provincia (si responde «Argentina»)</t>
      </text>
    </comment>
    <comment ref="Y1" authorId="0" shapeId="0">
      <text>
        <t>2. Máximo nivel educativo alcanzado</t>
      </text>
    </comment>
    <comment ref="Z1" authorId="0" shapeId="0">
      <text>
        <t>3. ¿Está actualmente en pareja?</t>
      </text>
    </comment>
    <comment ref="AA1" authorId="0" shapeId="0">
      <text>
        <t>4. Cantidad de personas con que convive</t>
      </text>
    </comment>
    <comment ref="AB1" authorId="0" shapeId="0">
      <text>
        <t>5. Cantidad de personas que tiene a cargo</t>
      </text>
    </comment>
    <comment ref="AC1" authorId="0" shapeId="0">
      <text>
        <t>6. ¿Qué idioma(s) entiende?</t>
      </text>
    </comment>
    <comment ref="AD1" authorId="0" shapeId="0">
      <text>
        <t>6. Especificar (si responde «Otro»)</t>
      </text>
    </comment>
    <comment ref="AE1" authorId="0" shapeId="0">
      <text>
        <t>7. ¿Qué idioma(s) habla?</t>
      </text>
    </comment>
    <comment ref="AF1" authorId="0" shapeId="0">
      <text>
        <t>7. Especificar (si responde «Otro»)</t>
      </text>
    </comment>
    <comment ref="AG1" authorId="0" shapeId="0">
      <text>
        <t>8. ¿En qué país obtuvo su licencia de conducir profesional?</t>
      </text>
    </comment>
    <comment ref="AH1" authorId="0" shapeId="0">
      <text>
        <t>8. ¿En qué país? (si responde «Otro»)</t>
      </text>
    </comment>
    <comment ref="AI1" authorId="0" shapeId="0">
      <text>
        <t>9. ¿Cómo es el estado de las rutas que recorre en Jujuy?</t>
      </text>
    </comment>
    <comment ref="AJ1" authorId="0" shapeId="0">
      <text>
        <t>10. ¿Hace cuántos años trabaja como chofer de camión?</t>
      </text>
    </comment>
    <comment ref="AK1" authorId="0" shapeId="0">
      <text>
        <t>11. ¿Qué recorrido está realizando ahora?</t>
      </text>
    </comment>
    <comment ref="AL1" authorId="0" shapeId="0">
      <text>
        <t>12. ¿Con qué frecuencia realiza ese recorrido? — Otros tramos del corredor + Jujuy</t>
      </text>
    </comment>
    <comment ref="AM1" authorId="0" shapeId="0">
      <text>
        <t>12. Especificar (si responde «Otro»)</t>
      </text>
    </comment>
    <comment ref="AN1" authorId="0" shapeId="0">
      <text>
        <t>12. ¿Con qué frecuencia realiza ese recorrido? — Tramo Jujuy</t>
      </text>
    </comment>
    <comment ref="AO1" authorId="0" shapeId="0">
      <text>
        <t>12. Especificar (si responde «Otro»)</t>
      </text>
    </comment>
    <comment ref="AP1" authorId="0" shapeId="0">
      <text>
        <t>13. ¿Cuál es su relación laboral actual?</t>
      </text>
    </comment>
    <comment ref="AQ1" authorId="0" shapeId="0">
      <text>
        <t>13. Especificar (si responde «Otro»)</t>
      </text>
    </comment>
    <comment ref="AR1" authorId="0" shapeId="0">
      <text>
        <t>14. ¿Cómo se siente con su situación laboral actual?</t>
      </text>
    </comment>
    <comment ref="AS1" authorId="0" shapeId="0">
      <text>
        <t>15. ¿Cree que su trabajo representa un riesgo para su salud?</t>
      </text>
    </comment>
    <comment ref="AT1" authorId="0" shapeId="0">
      <text>
        <t>16. Por lo general, ¿cuántas horas conduce sin hacer paradas?</t>
      </text>
    </comment>
    <comment ref="AU1" authorId="0" shapeId="0">
      <text>
        <t>17. ¿Realiza paradas durante su recorrido?</t>
      </text>
    </comment>
    <comment ref="AV1" authorId="0" shapeId="0">
      <text>
        <t>18. ¿Dónde suele comer durante los viajes?</t>
      </text>
    </comment>
    <comment ref="AW1" authorId="0" shapeId="0">
      <text>
        <t>18. Especificar (si responde «Otro»)</t>
      </text>
    </comment>
    <comment ref="AX1" authorId="0" shapeId="0">
      <text>
        <t>19. ¿Cuántas horas duerme por día?</t>
      </text>
    </comment>
    <comment ref="AY1" authorId="0" shapeId="0">
      <text>
        <t>20. ¿Con qué frecuencia consume frutas y verduras mientras está en ruta?</t>
      </text>
    </comment>
    <comment ref="AZ1" authorId="0" shapeId="0">
      <text>
        <t>21. ¿Qué bebidas consume durante sus viajes?</t>
      </text>
    </comment>
    <comment ref="BA1" authorId="0" shapeId="0">
      <text>
        <t>21. Especificar (si responde «Otro»)</t>
      </text>
    </comment>
    <comment ref="BB1" authorId="0" shapeId="0">
      <text>
        <t>22. ¿Suele tener acceso a sanitarios en sus recorridos?</t>
      </text>
    </comment>
    <comment ref="BC1" authorId="0" shapeId="0">
      <text>
        <t>23. ¿Dedica tiempo al mes a actividades recreativas (cine, paseos, deporte, etc.)?</t>
      </text>
    </comment>
    <comment ref="BD1" authorId="0" shapeId="0">
      <text>
        <t>24. ¿Ha tenido algún siniestro vial en el último año?</t>
      </text>
    </comment>
    <comment ref="BE1" authorId="0" shapeId="0">
      <text>
        <t>25. Con lo que gana, ¿llega a fin de mes?</t>
      </text>
    </comment>
    <comment ref="BF1" authorId="0" shapeId="0">
      <text>
        <t>26. ¿Tiene cobertura médica?</t>
      </text>
    </comment>
    <comment ref="BG1" authorId="0" shapeId="0">
      <text>
        <t>27. ¿Dónde recurre para control médico?</t>
      </text>
    </comment>
    <comment ref="BH1" authorId="0" shapeId="0">
      <text>
        <t>28. ¿Con qué frecuencia consulta al médico, aunque no presente síntomas?</t>
      </text>
    </comment>
    <comment ref="BI1" authorId="0" shapeId="0">
      <text>
        <t>29. ¿Dónde recurre para atención de dolencias, malestar o síntomas?</t>
      </text>
    </comment>
    <comment ref="BJ1" authorId="0" shapeId="0">
      <text>
        <t>30. ¿Tiene dolores frecuentes en alguna parte del cuerpo?</t>
      </text>
    </comment>
    <comment ref="BK1" authorId="0" shapeId="0">
      <text>
        <t>30. ¿Qué dolores corporales presenta? (si responde «Sí»)</t>
      </text>
    </comment>
    <comment ref="BL1" authorId="0" shapeId="0">
      <text>
        <t>31. Sin indicación médica, suele tomar:</t>
      </text>
    </comment>
    <comment ref="BM1" authorId="0" shapeId="0">
      <text>
        <t>32. ¿Qué medicamentos o hierbas toma?</t>
      </text>
    </comment>
    <comment ref="BN1" authorId="0" shapeId="0">
      <text>
        <t>33. Actualmente, ¿ha sido diagnosticado con alguna enfermedad?</t>
      </text>
    </comment>
    <comment ref="BO1" authorId="0" shapeId="0">
      <text>
        <t>33. Especificar (si responde «Otros»)</t>
      </text>
    </comment>
    <comment ref="BP1" authorId="0" shapeId="0">
      <text>
        <t>34. ¿Con qué frecuencia realiza actividad física fuera del trabajo?</t>
      </text>
    </comment>
    <comment ref="BQ1" authorId="0" shapeId="0">
      <text>
        <t>35. ¿Consume bebidas energéticas durante sus viajes?</t>
      </text>
    </comment>
    <comment ref="BR1" authorId="0" shapeId="0">
      <text>
        <t>35. Especificar (si responde «Otro»)</t>
      </text>
    </comment>
    <comment ref="BS1" authorId="0" shapeId="0">
      <text>
        <t>36. ¿Usted coquea?</t>
      </text>
    </comment>
    <comment ref="BT1" authorId="0" shapeId="0">
      <text>
        <t>37. ¿Consume bebidas alcohólicas? (en horario NO laboral)</t>
      </text>
    </comment>
    <comment ref="BU1" authorId="0" shapeId="0">
      <text>
        <t>38. ¿Con qué frecuencia se comunica con colegas durante sus viajes?</t>
      </text>
    </comment>
    <comment ref="BV1" authorId="0" shapeId="0">
      <text>
        <t>39. ¿Suele compartir trayectos con otros choferes?</t>
      </text>
    </comment>
    <comment ref="BW1" authorId="0" shapeId="0">
      <text>
        <t>¿Tiene diagnóstico de diabetes?</t>
      </text>
    </comment>
    <comment ref="BX1" authorId="0" shapeId="0">
      <text>
        <t>Sexo</t>
      </text>
    </comment>
    <comment ref="BY1" authorId="0" shapeId="0">
      <text>
        <t>Peso (kg)</t>
      </text>
    </comment>
    <comment ref="BZ1" authorId="0" shapeId="0">
      <text>
        <t>Altura (m)</t>
      </text>
    </comment>
    <comment ref="CA1" authorId="0" shapeId="0">
      <text>
        <t>IMC (calculado)</t>
      </text>
    </comment>
    <comment ref="CB1" authorId="0" shapeId="0">
      <text>
        <t>Perímetro abdominal (cm)</t>
      </text>
    </comment>
    <comment ref="CC1" authorId="0" shapeId="0">
      <text>
        <t>Presión arterial sistólica (mmHg)</t>
      </text>
    </comment>
    <comment ref="CD1" authorId="0" shapeId="0">
      <text>
        <t>Presión arterial diastólica (mmHg)</t>
      </text>
    </comment>
    <comment ref="CE1" authorId="0" shapeId="0">
      <text>
        <t>¿Hace actividad física regularmente? (al menos 30 min por día)</t>
      </text>
    </comment>
    <comment ref="CF1" authorId="0" shapeId="0">
      <text>
        <t>¿Consume frutas o verduras todos los días?</t>
      </text>
    </comment>
    <comment ref="CG1" authorId="0" shapeId="0">
      <text>
        <t>¿Tiene diagnóstico de hipertensión?</t>
      </text>
    </comment>
    <comment ref="CH1" authorId="0" shapeId="0">
      <text>
        <t>¿Toma medicación antihipertensiva?</t>
      </text>
    </comment>
    <comment ref="CI1" authorId="0" shapeId="0">
      <text>
        <t>¿Tuvo glucosa elevada en sangre alguna vez?</t>
      </text>
    </comment>
    <comment ref="CJ1" authorId="0" shapeId="0">
      <text>
        <t>Antecedentes familiares de diabetes</t>
      </text>
    </comment>
    <comment ref="CK1" authorId="0" shapeId="0">
      <text>
        <t>¿Fuma tabaco?</t>
      </text>
    </comment>
    <comment ref="CL1" authorId="0" shapeId="0">
      <text>
        <t>¿Acepta evaluarse el nivel de azúcar en sangre?</t>
      </text>
    </comment>
    <comment ref="CM1" authorId="0" shapeId="0">
      <text>
        <t>Hora de la última ingesta (líquido o sólido)</t>
      </text>
    </comment>
    <comment ref="CN1" authorId="0" shapeId="0">
      <text>
        <t>¿Qué comió o bebió?</t>
      </text>
    </comment>
    <comment ref="CO1" authorId="0" shapeId="0">
      <text>
        <t>Hora de la medición</t>
      </text>
    </comment>
    <comment ref="CP1" authorId="0" shapeId="0">
      <text>
        <t>Resultado de glucometría periférica (mg/dL)</t>
      </text>
    </comment>
    <comment ref="CQ1" authorId="0" shapeId="0">
      <text>
        <t>Minutos de ayuno (calculado)</t>
      </text>
    </comment>
    <comment ref="CR1" authorId="0" shapeId="0">
      <text>
        <t>FINDRISK: ¿corresponde aplicarlo?</t>
      </text>
    </comment>
    <comment ref="CS1" authorId="0" shapeId="0">
      <text>
        <t>FINDRISK: puntaje total</t>
      </text>
    </comment>
    <comment ref="CT1" authorId="0" shapeId="0">
      <text>
        <t>FINDRISK: nivel de riesgo</t>
      </text>
    </comment>
    <comment ref="CU1" authorId="0" shapeId="0">
      <text>
        <t>FINDRISK: probabilidad de diabetes a 10 años</t>
      </text>
    </comment>
    <comment ref="CV1" authorId="0" shapeId="0">
      <text>
        <t>Framingham: ¿corresponde aplicarlo?</t>
      </text>
    </comment>
    <comment ref="CW1" authorId="0" shapeId="0">
      <text>
        <t>Framingham: puntaje total</t>
      </text>
    </comment>
    <comment ref="CX1" authorId="0" shapeId="0">
      <text>
        <t>Framingham: riesgo a 10 años (%)</t>
      </text>
    </comment>
    <comment ref="CY1" authorId="0" shapeId="0">
      <text>
        <t>Framingham: categoría de riesgo</t>
      </text>
    </comment>
  </commentList>
</comments>
</file>

<file path=xl/comments/comment2.xml><?xml version="1.0" encoding="utf-8"?>
<comments xmlns="http://schemas.openxmlformats.org/spreadsheetml/2006/main">
  <authors>
    <author>Instrumento</author>
  </authors>
  <commentList>
    <comment ref="A1" authorId="0" shapeId="0">
      <text>
        <t>Datos personales. No compartir esta hoja: protegerla (Datos &gt; Proteger hojas) y no incluirla en exportaciones para publicar.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/Relationships>
</file>

<file path=xl/drawings/drawing1.xml><?xml version="1.0" encoding="utf-8"?>
<wsDr xmlns="http://schemas.openxmlformats.org/drawingml/2006/spreadsheetDrawing">
  <oneCellAnchor>
    <from>
      <col>8</col>
      <colOff>0</colOff>
      <row>35</row>
      <rowOff>0</rowOff>
    </from>
    <ext cx="57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49</row>
      <rowOff>0</rowOff>
    </from>
    <ext cx="576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63</row>
      <rowOff>0</rowOff>
    </from>
    <ext cx="576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77</row>
      <rowOff>0</rowOff>
    </from>
    <ext cx="5760000" cy="374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99</row>
      <rowOff>0</rowOff>
    </from>
    <ext cx="576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113</row>
      <rowOff>0</rowOff>
    </from>
    <ext cx="5760000" cy="259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129</row>
      <rowOff>0</rowOff>
    </from>
    <ext cx="5760000" cy="21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143</row>
      <rowOff>0</rowOff>
    </from>
    <ext cx="5760000" cy="21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157</row>
      <rowOff>0</rowOff>
    </from>
    <ext cx="5760000" cy="21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171</row>
      <rowOff>0</rowOff>
    </from>
    <ext cx="5760000" cy="21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185</row>
      <rowOff>0</rowOff>
    </from>
    <ext cx="5760000" cy="21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199</row>
      <rowOff>0</rowOff>
    </from>
    <ext cx="5760000" cy="21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213</row>
      <rowOff>0</rowOff>
    </from>
    <ext cx="5760000" cy="2592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E8A317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1">
      <c r="B1" s="1" t="inlineStr">
        <is>
          <t>Base de relevamiento · Corredor Bioceánico (Jujuy)</t>
        </is>
      </c>
    </row>
    <row r="2">
      <c r="B2" s="2" t="inlineStr">
        <is>
          <t>Planilla que recibe los datos de la app de campo y arma el tablero sola.</t>
        </is>
      </c>
    </row>
    <row r="3">
      <c r="B3" s="3" t="inlineStr"/>
    </row>
    <row r="4">
      <c r="B4" s="4" t="inlineStr">
        <is>
          <t>Hojas</t>
        </is>
      </c>
    </row>
    <row r="5">
      <c r="B5" s="3" t="inlineStr">
        <is>
          <t>Tablero: indicadores, tablas y gráficos. Se recalcula solo; las únicas celdas para escribir son las amarillas (nombres de equipos).</t>
        </is>
      </c>
    </row>
    <row r="6">
      <c r="B6" s="3" t="inlineStr">
        <is>
          <t>Datos: una fila por relevamiento. La llena el script o se pega el CSV de la app. No cambiar la fila 1 ni insertar columnas en el medio.</t>
        </is>
      </c>
    </row>
    <row r="7">
      <c r="B7" s="3" t="inlineStr">
        <is>
          <t>Contactos: correo y celular. Datos personales: proteger la hoja y no compartirla.</t>
        </is>
      </c>
    </row>
    <row r="8">
      <c r="B8" s="3" t="inlineStr">
        <is>
          <t>Diccionario: qué significa cada columna, sus valores posibles y un ejemplo.</t>
        </is>
      </c>
    </row>
    <row r="9">
      <c r="B9" s="3" t="inlineStr"/>
    </row>
    <row r="10">
      <c r="B10" s="4" t="inlineStr">
        <is>
          <t>Opción 1 — Planilla de Google (recomendada, sin costo)</t>
        </is>
      </c>
    </row>
    <row r="11">
      <c r="B11" s="3" t="inlineStr">
        <is>
          <t>1. Subí este archivo al Drive de la cuenta de Gmail del proyecto y abrilo con Hojas de cálculo de Google (Archivo &gt; Guardar como Hojas de cálculo de Google).</t>
        </is>
      </c>
    </row>
    <row r="12">
      <c r="B12" s="3" t="inlineStr">
        <is>
          <t>2. En esa planilla: Extensiones &gt; Apps Script. Borrá lo que aparece, pegá el contenido de Codigo.gs y cambiá la clave de la línea TOKEN.</t>
        </is>
      </c>
    </row>
    <row r="13">
      <c r="B13" s="3" t="inlineStr">
        <is>
          <t>3. Implementar &gt; Nueva implementación &gt; tipo «Aplicación web». Ejecutar como: Yo. Quién tiene acceso: Cualquier usuario. Autorizá los permisos.</t>
        </is>
      </c>
    </row>
    <row r="14">
      <c r="B14" s="3" t="inlineStr">
        <is>
          <t>4. Copiá la URL que termina en /exec y pegala, junto con la clave, en Ajustes de cada celular. Tocá «Probar conexión».</t>
        </is>
      </c>
    </row>
    <row r="15">
      <c r="B15" s="3" t="inlineStr">
        <is>
          <t>5. Compartí la planilla con el equipo como Lector para que vean el tablero. Para descargarla en Excel: Archivo &gt; Descargar &gt; Microsoft Excel.</t>
        </is>
      </c>
    </row>
    <row r="16">
      <c r="B16" s="3" t="inlineStr"/>
    </row>
    <row r="17">
      <c r="B17" s="4" t="inlineStr">
        <is>
          <t>Opción 2 — Solo Excel, sin internet</t>
        </is>
      </c>
    </row>
    <row r="18">
      <c r="B18" s="3" t="inlineStr">
        <is>
          <t>1. En la computadora de coordinación, la app importa los paquetes de todos los celulares (Ajustes &gt; Importar paquetes) y descarga un CSV consolidado.</t>
        </is>
      </c>
    </row>
    <row r="19">
      <c r="B19" s="3" t="inlineStr">
        <is>
          <t>2. En Excel: Datos &gt; Obtener datos &gt; Desde texto/CSV, origen UTF-8 y delimitador punto y coma. Copiá las filas (sin el encabezado) y pegalas desde la celda A2 de la hoja Datos.</t>
        </is>
      </c>
    </row>
    <row r="20">
      <c r="B20" s="3" t="inlineStr">
        <is>
          <t>3. El tablero se actualiza solo. Para un nuevo consolidado, seleccioná las filas de Datos desde la 2, apretá Supr (no elimines filas) y pegá el CSV completo otra vez (ya viene sin duplicados).</t>
        </is>
      </c>
    </row>
    <row r="21">
      <c r="B21" s="3" t="inlineStr"/>
    </row>
    <row r="22">
      <c r="B22" s="3" t="inlineStr">
        <is>
          <t>Para vaciar la planilla (por ejemplo después de una prueba): seleccioná desde la fila 2 de Datos y de Contactos y apretá Supr. Nunca borres la fila 1.</t>
        </is>
      </c>
    </row>
    <row r="23">
      <c r="B23" s="3" t="inlineStr"/>
    </row>
    <row r="24">
      <c r="B24" s="4" t="inlineStr">
        <is>
          <t>Notas metodológicas</t>
        </is>
      </c>
    </row>
    <row r="25">
      <c r="B25" s="3" t="inlineStr">
        <is>
          <t>Las fórmulas cubren hasta la fila 3000 de Datos. Si se superan, ampliar los rangos.</t>
        </is>
      </c>
    </row>
    <row r="26">
      <c r="B26" s="3" t="inlineStr">
        <is>
          <t>FINDRISK y Framingham se calculan en la app con las tablas del protocolo; la planilla solo cuenta categorías.</t>
        </is>
      </c>
    </row>
    <row r="27">
      <c r="B27" s="3" t="inlineStr">
        <is>
          <t>IMC exactamente 30: FINDRISK lo puntúa como «25 a 30» (1 punto) y Framingham como «30 o más», tal como dice el modelo de encuesta. Revisar el criterio.</t>
        </is>
      </c>
    </row>
    <row r="28">
      <c r="B28" s="3" t="inlineStr">
        <is>
          <t>Las preguntas de opción múltiple se guardan separadas por «; » (por ejemplo: «Español; Portugués»).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42" customWidth="1" min="2" max="2"/>
    <col width="15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>
      <c r="B1" s="5" t="inlineStr">
        <is>
          <t>Tablero · Conductores de camiones del Corredor Bioceánico (Jujuy)</t>
        </is>
      </c>
      <c r="C1" s="6" t="n"/>
      <c r="D1" s="6" t="n"/>
      <c r="E1" s="6" t="n"/>
      <c r="F1" s="6" t="n"/>
      <c r="G1" s="6" t="n"/>
    </row>
    <row r="2">
      <c r="B2" s="7" t="inlineStr">
        <is>
          <t>Se actualiza solo con lo que llega a la hoja «Datos». No escribir en esta hoja salvo las celdas amarillas.</t>
        </is>
      </c>
      <c r="C2" s="6" t="n"/>
      <c r="D2" s="6" t="n"/>
      <c r="E2" s="6" t="n"/>
      <c r="F2" s="6" t="n"/>
      <c r="G2" s="6" t="n"/>
    </row>
    <row r="3">
      <c r="B3" s="6" t="n"/>
      <c r="C3" s="6" t="n"/>
      <c r="D3" s="6" t="n"/>
      <c r="E3" s="6" t="n"/>
      <c r="F3" s="6" t="n"/>
      <c r="G3" s="6" t="n"/>
    </row>
    <row r="4">
      <c r="B4" s="8" t="inlineStr">
        <is>
          <t>Indicadores generales</t>
        </is>
      </c>
      <c r="C4" s="6" t="n"/>
      <c r="D4" s="6" t="n"/>
      <c r="E4" s="6" t="n"/>
      <c r="F4" s="6" t="n"/>
      <c r="G4" s="6" t="n"/>
    </row>
    <row r="5">
      <c r="B5" s="9" t="inlineStr">
        <is>
          <t>Indicador</t>
        </is>
      </c>
      <c r="C5" s="10" t="inlineStr">
        <is>
          <t>Valor</t>
        </is>
      </c>
      <c r="D5" s="6" t="n"/>
      <c r="E5" s="6" t="n"/>
      <c r="F5" s="6" t="n"/>
      <c r="G5" s="6" t="n"/>
    </row>
    <row r="6">
      <c r="B6" s="11" t="inlineStr">
        <is>
          <t>Relevamientos recibidos</t>
        </is>
      </c>
      <c r="C6" s="12">
        <f>COUNTA(Datos!$A$2:$A$3000)</f>
        <v/>
      </c>
      <c r="D6" s="6" t="n"/>
      <c r="E6" s="6" t="n"/>
      <c r="F6" s="6" t="n"/>
      <c r="G6" s="6" t="n"/>
    </row>
    <row r="7">
      <c r="B7" s="11" t="inlineStr">
        <is>
          <t>Participantes únicos (por ID)</t>
        </is>
      </c>
      <c r="C7" s="12">
        <f>IFERROR(SUMPRODUCT((Datos!$B$2:$B$3000&lt;&gt;"")/COUNTIF(Datos!$B$2:$B$3000,Datos!$B$2:$B$3000&amp;"")),0)</f>
        <v/>
      </c>
      <c r="D7" s="6" t="n"/>
      <c r="E7" s="6" t="n"/>
      <c r="F7" s="6" t="n"/>
      <c r="G7" s="6" t="n"/>
    </row>
    <row r="8">
      <c r="B8" s="11" t="inlineStr">
        <is>
          <t>Relevamientos finalizados</t>
        </is>
      </c>
      <c r="C8" s="12">
        <f>COUNTIF(Datos!$T$2:$T$3000,"finalizado")</f>
        <v/>
      </c>
      <c r="D8" s="6" t="n"/>
      <c r="E8" s="6" t="n"/>
      <c r="F8" s="6" t="n"/>
      <c r="G8" s="6" t="n"/>
    </row>
    <row r="9">
      <c r="B9" s="11" t="inlineStr">
        <is>
          <t>Con sociodemográfica completa</t>
        </is>
      </c>
      <c r="C9" s="12">
        <f>COUNTIF(Datos!$Q$2:$Q$3000,"Sí")</f>
        <v/>
      </c>
      <c r="D9" s="6" t="n"/>
      <c r="E9" s="6" t="n"/>
      <c r="F9" s="6" t="n"/>
      <c r="G9" s="6" t="n"/>
    </row>
    <row r="10">
      <c r="B10" s="11" t="inlineStr">
        <is>
          <t>Con biológica completa</t>
        </is>
      </c>
      <c r="C10" s="12">
        <f>COUNTIF(Datos!$R$2:$R$3000,"Sí")</f>
        <v/>
      </c>
      <c r="D10" s="6" t="n"/>
      <c r="E10" s="6" t="n"/>
      <c r="F10" s="6" t="n"/>
      <c r="G10" s="6" t="n"/>
    </row>
    <row r="11">
      <c r="B11" s="11" t="inlineStr">
        <is>
          <t>Con glucometría realizada</t>
        </is>
      </c>
      <c r="C11" s="12">
        <f>COUNTIF(Datos!$S$2:$S$3000,"Sí")</f>
        <v/>
      </c>
      <c r="D11" s="6" t="n"/>
      <c r="E11" s="6" t="n"/>
      <c r="F11" s="6" t="n"/>
      <c r="G11" s="6" t="n"/>
    </row>
    <row r="12">
      <c r="B12" s="11" t="inlineStr">
        <is>
          <t>Primer relevamiento</t>
        </is>
      </c>
      <c r="C12" s="13">
        <f>IF(COUNT(Datos!$G$2:$G$3000)=0,"",MIN(Datos!$G$2:$G$3000))</f>
        <v/>
      </c>
      <c r="D12" s="6" t="n"/>
      <c r="E12" s="6" t="n"/>
      <c r="F12" s="6" t="n"/>
      <c r="G12" s="6" t="n"/>
    </row>
    <row r="13">
      <c r="B13" s="11" t="inlineStr">
        <is>
          <t>Último relevamiento</t>
        </is>
      </c>
      <c r="C13" s="13">
        <f>IF(COUNT(Datos!$G$2:$G$3000)=0,"",MAX(Datos!$G$2:$G$3000))</f>
        <v/>
      </c>
      <c r="D13" s="6" t="n"/>
      <c r="E13" s="6" t="n"/>
      <c r="F13" s="6" t="n"/>
      <c r="G13" s="6" t="n"/>
    </row>
    <row r="14">
      <c r="B14" s="6" t="n"/>
      <c r="C14" s="6" t="n"/>
      <c r="D14" s="6" t="n"/>
      <c r="E14" s="6" t="n"/>
      <c r="F14" s="6" t="n"/>
      <c r="G14" s="6" t="n"/>
    </row>
    <row r="15">
      <c r="B15" s="8" t="inlineStr">
        <is>
          <t>Avance por equipo</t>
        </is>
      </c>
      <c r="C15" s="6" t="n"/>
      <c r="D15" s="6" t="n"/>
      <c r="E15" s="6" t="n"/>
      <c r="F15" s="6" t="n"/>
      <c r="G15" s="6" t="n"/>
    </row>
    <row r="16">
      <c r="B16" s="7" t="inlineStr">
        <is>
          <t>Las celdas amarillas son editables: escribí la letra de cada equipo tal como se cargó en Ajustes.</t>
        </is>
      </c>
      <c r="C16" s="6" t="n"/>
      <c r="D16" s="6" t="n"/>
      <c r="E16" s="6" t="n"/>
      <c r="F16" s="6" t="n"/>
      <c r="G16" s="6" t="n"/>
    </row>
    <row r="17">
      <c r="B17" s="9" t="inlineStr">
        <is>
          <t>Equipo</t>
        </is>
      </c>
      <c r="C17" s="10" t="inlineStr">
        <is>
          <t>Relevamientos</t>
        </is>
      </c>
      <c r="D17" s="10" t="inlineStr">
        <is>
          <t>Finalizados</t>
        </is>
      </c>
      <c r="E17" s="10" t="inlineStr">
        <is>
          <t>Con biológica</t>
        </is>
      </c>
      <c r="F17" s="10" t="inlineStr">
        <is>
          <t>Último</t>
        </is>
      </c>
      <c r="G17" s="6" t="n"/>
    </row>
    <row r="18">
      <c r="B18" s="14" t="inlineStr">
        <is>
          <t>A</t>
        </is>
      </c>
      <c r="C18" s="15">
        <f>IF(B18="","",COUNTIF(Datos!$J$2:$J$3000,B18))</f>
        <v/>
      </c>
      <c r="D18" s="15">
        <f>IF(B18="","",COUNTIFS(Datos!$J$2:$J$3000,B18,Datos!$T$2:$T$3000,"finalizado"))</f>
        <v/>
      </c>
      <c r="E18" s="15">
        <f>IF(B18="","",COUNTIFS(Datos!$J$2:$J$3000,B18,Datos!$R$2:$R$3000,"Sí"))</f>
        <v/>
      </c>
      <c r="F18" s="16">
        <f>IF(OR(B18="",COUNTIF(Datos!$J$2:$J$3000,B18)=0),"",_xlfn.MAXIFS(Datos!$G$2:$G$3000,Datos!$J$2:$J$3000,B18))</f>
        <v/>
      </c>
      <c r="G18" s="6" t="n"/>
    </row>
    <row r="19">
      <c r="B19" s="14" t="inlineStr">
        <is>
          <t>B</t>
        </is>
      </c>
      <c r="C19" s="15">
        <f>IF(B19="","",COUNTIF(Datos!$J$2:$J$3000,B19))</f>
        <v/>
      </c>
      <c r="D19" s="15">
        <f>IF(B19="","",COUNTIFS(Datos!$J$2:$J$3000,B19,Datos!$T$2:$T$3000,"finalizado"))</f>
        <v/>
      </c>
      <c r="E19" s="15">
        <f>IF(B19="","",COUNTIFS(Datos!$J$2:$J$3000,B19,Datos!$R$2:$R$3000,"Sí"))</f>
        <v/>
      </c>
      <c r="F19" s="16">
        <f>IF(OR(B19="",COUNTIF(Datos!$J$2:$J$3000,B19)=0),"",_xlfn.MAXIFS(Datos!$G$2:$G$3000,Datos!$J$2:$J$3000,B19))</f>
        <v/>
      </c>
      <c r="G19" s="6" t="n"/>
    </row>
    <row r="20">
      <c r="B20" s="14" t="inlineStr">
        <is>
          <t>C</t>
        </is>
      </c>
      <c r="C20" s="15">
        <f>IF(B20="","",COUNTIF(Datos!$J$2:$J$3000,B20))</f>
        <v/>
      </c>
      <c r="D20" s="15">
        <f>IF(B20="","",COUNTIFS(Datos!$J$2:$J$3000,B20,Datos!$T$2:$T$3000,"finalizado"))</f>
        <v/>
      </c>
      <c r="E20" s="15">
        <f>IF(B20="","",COUNTIFS(Datos!$J$2:$J$3000,B20,Datos!$R$2:$R$3000,"Sí"))</f>
        <v/>
      </c>
      <c r="F20" s="16">
        <f>IF(OR(B20="",COUNTIF(Datos!$J$2:$J$3000,B20)=0),"",_xlfn.MAXIFS(Datos!$G$2:$G$3000,Datos!$J$2:$J$3000,B20))</f>
        <v/>
      </c>
      <c r="G20" s="6" t="n"/>
    </row>
    <row r="21">
      <c r="B21" s="14" t="inlineStr">
        <is>
          <t>D</t>
        </is>
      </c>
      <c r="C21" s="15">
        <f>IF(B21="","",COUNTIF(Datos!$J$2:$J$3000,B21))</f>
        <v/>
      </c>
      <c r="D21" s="15">
        <f>IF(B21="","",COUNTIFS(Datos!$J$2:$J$3000,B21,Datos!$T$2:$T$3000,"finalizado"))</f>
        <v/>
      </c>
      <c r="E21" s="15">
        <f>IF(B21="","",COUNTIFS(Datos!$J$2:$J$3000,B21,Datos!$R$2:$R$3000,"Sí"))</f>
        <v/>
      </c>
      <c r="F21" s="16">
        <f>IF(OR(B21="",COUNTIF(Datos!$J$2:$J$3000,B21)=0),"",_xlfn.MAXIFS(Datos!$G$2:$G$3000,Datos!$J$2:$J$3000,B21))</f>
        <v/>
      </c>
      <c r="G21" s="6" t="n"/>
    </row>
    <row r="22">
      <c r="B22" s="14" t="inlineStr">
        <is>
          <t>E</t>
        </is>
      </c>
      <c r="C22" s="15">
        <f>IF(B22="","",COUNTIF(Datos!$J$2:$J$3000,B22))</f>
        <v/>
      </c>
      <c r="D22" s="15">
        <f>IF(B22="","",COUNTIFS(Datos!$J$2:$J$3000,B22,Datos!$T$2:$T$3000,"finalizado"))</f>
        <v/>
      </c>
      <c r="E22" s="15">
        <f>IF(B22="","",COUNTIFS(Datos!$J$2:$J$3000,B22,Datos!$R$2:$R$3000,"Sí"))</f>
        <v/>
      </c>
      <c r="F22" s="16">
        <f>IF(OR(B22="",COUNTIF(Datos!$J$2:$J$3000,B22)=0),"",_xlfn.MAXIFS(Datos!$G$2:$G$3000,Datos!$J$2:$J$3000,B22))</f>
        <v/>
      </c>
      <c r="G22" s="6" t="n"/>
    </row>
    <row r="23">
      <c r="B23" s="6" t="n"/>
      <c r="C23" s="6" t="n"/>
      <c r="D23" s="6" t="n"/>
      <c r="E23" s="6" t="n"/>
      <c r="F23" s="6" t="n"/>
      <c r="G23" s="6" t="n"/>
    </row>
    <row r="24">
      <c r="B24" s="8" t="inlineStr">
        <is>
          <t>Promedios</t>
        </is>
      </c>
      <c r="C24" s="6" t="n"/>
      <c r="D24" s="6" t="n"/>
      <c r="E24" s="6" t="n"/>
      <c r="F24" s="6" t="n"/>
      <c r="G24" s="6" t="n"/>
    </row>
    <row r="25">
      <c r="B25" s="7" t="inlineStr">
        <is>
          <t>La glucemia promedia mediciones con distintos tiempos de ayuno: usarla solo como referencia.</t>
        </is>
      </c>
      <c r="C25" s="6" t="n"/>
      <c r="D25" s="6" t="n"/>
      <c r="E25" s="6" t="n"/>
      <c r="F25" s="6" t="n"/>
      <c r="G25" s="6" t="n"/>
    </row>
    <row r="26">
      <c r="B26" s="9" t="inlineStr">
        <is>
          <t>Variable</t>
        </is>
      </c>
      <c r="C26" s="10" t="inlineStr">
        <is>
          <t>Total</t>
        </is>
      </c>
      <c r="D26" s="10" t="inlineStr">
        <is>
          <t>Varón</t>
        </is>
      </c>
      <c r="E26" s="10" t="inlineStr">
        <is>
          <t>Mujer</t>
        </is>
      </c>
      <c r="F26" s="10" t="inlineStr">
        <is>
          <t>n</t>
        </is>
      </c>
      <c r="G26" s="6" t="n"/>
    </row>
    <row r="27">
      <c r="B27" s="11" t="inlineStr">
        <is>
          <t>Edad (años)</t>
        </is>
      </c>
      <c r="C27" s="17">
        <f>IFERROR(AVERAGE(Datos!$E$2:$E$3000),"")</f>
        <v/>
      </c>
      <c r="D27" s="17">
        <f>IFERROR(AVERAGEIFS(Datos!$E$2:$E$3000,Datos!$BX$2:$BX$3000,"Varón"),"")</f>
        <v/>
      </c>
      <c r="E27" s="17">
        <f>IFERROR(AVERAGEIFS(Datos!$E$2:$E$3000,Datos!$BX$2:$BX$3000,"Mujer"),"")</f>
        <v/>
      </c>
      <c r="F27" s="11">
        <f>COUNT(Datos!$E$2:$E$3000)</f>
        <v/>
      </c>
      <c r="G27" s="6" t="n"/>
    </row>
    <row r="28">
      <c r="B28" s="11" t="inlineStr">
        <is>
          <t>IMC (kg/m²)</t>
        </is>
      </c>
      <c r="C28" s="17">
        <f>IFERROR(AVERAGE(Datos!$CA$2:$CA$3000),"")</f>
        <v/>
      </c>
      <c r="D28" s="17">
        <f>IFERROR(AVERAGEIFS(Datos!$CA$2:$CA$3000,Datos!$BX$2:$BX$3000,"Varón"),"")</f>
        <v/>
      </c>
      <c r="E28" s="17">
        <f>IFERROR(AVERAGEIFS(Datos!$CA$2:$CA$3000,Datos!$BX$2:$BX$3000,"Mujer"),"")</f>
        <v/>
      </c>
      <c r="F28" s="11">
        <f>COUNT(Datos!$CA$2:$CA$3000)</f>
        <v/>
      </c>
      <c r="G28" s="6" t="n"/>
    </row>
    <row r="29">
      <c r="B29" s="11" t="inlineStr">
        <is>
          <t>Perímetro abdominal (cm)</t>
        </is>
      </c>
      <c r="C29" s="17">
        <f>IFERROR(AVERAGE(Datos!$CB$2:$CB$3000),"")</f>
        <v/>
      </c>
      <c r="D29" s="17">
        <f>IFERROR(AVERAGEIFS(Datos!$CB$2:$CB$3000,Datos!$BX$2:$BX$3000,"Varón"),"")</f>
        <v/>
      </c>
      <c r="E29" s="17">
        <f>IFERROR(AVERAGEIFS(Datos!$CB$2:$CB$3000,Datos!$BX$2:$BX$3000,"Mujer"),"")</f>
        <v/>
      </c>
      <c r="F29" s="11">
        <f>COUNT(Datos!$CB$2:$CB$3000)</f>
        <v/>
      </c>
      <c r="G29" s="6" t="n"/>
    </row>
    <row r="30">
      <c r="B30" s="11" t="inlineStr">
        <is>
          <t>Presión sistólica (mmHg)</t>
        </is>
      </c>
      <c r="C30" s="17">
        <f>IFERROR(AVERAGE(Datos!$CC$2:$CC$3000),"")</f>
        <v/>
      </c>
      <c r="D30" s="17">
        <f>IFERROR(AVERAGEIFS(Datos!$CC$2:$CC$3000,Datos!$BX$2:$BX$3000,"Varón"),"")</f>
        <v/>
      </c>
      <c r="E30" s="17">
        <f>IFERROR(AVERAGEIFS(Datos!$CC$2:$CC$3000,Datos!$BX$2:$BX$3000,"Mujer"),"")</f>
        <v/>
      </c>
      <c r="F30" s="11">
        <f>COUNT(Datos!$CC$2:$CC$3000)</f>
        <v/>
      </c>
      <c r="G30" s="6" t="n"/>
    </row>
    <row r="31">
      <c r="B31" s="11" t="inlineStr">
        <is>
          <t>Glucemia periférica (mg/dL)</t>
        </is>
      </c>
      <c r="C31" s="17">
        <f>IFERROR(AVERAGE(Datos!$CP$2:$CP$3000),"")</f>
        <v/>
      </c>
      <c r="D31" s="17">
        <f>IFERROR(AVERAGEIFS(Datos!$CP$2:$CP$3000,Datos!$BX$2:$BX$3000,"Varón"),"")</f>
        <v/>
      </c>
      <c r="E31" s="17">
        <f>IFERROR(AVERAGEIFS(Datos!$CP$2:$CP$3000,Datos!$BX$2:$BX$3000,"Mujer"),"")</f>
        <v/>
      </c>
      <c r="F31" s="11">
        <f>COUNT(Datos!$CP$2:$CP$3000)</f>
        <v/>
      </c>
      <c r="G31" s="6" t="n"/>
    </row>
    <row r="32">
      <c r="B32" s="11" t="inlineStr">
        <is>
          <t>Años como chofer</t>
        </is>
      </c>
      <c r="C32" s="17">
        <f>IFERROR(AVERAGE(Datos!$AJ$2:$AJ$3000),"")</f>
        <v/>
      </c>
      <c r="D32" s="17">
        <f>IFERROR(AVERAGEIFS(Datos!$AJ$2:$AJ$3000,Datos!$BX$2:$BX$3000,"Varón"),"")</f>
        <v/>
      </c>
      <c r="E32" s="17">
        <f>IFERROR(AVERAGEIFS(Datos!$AJ$2:$AJ$3000,Datos!$BX$2:$BX$3000,"Mujer"),"")</f>
        <v/>
      </c>
      <c r="F32" s="11">
        <f>COUNT(Datos!$AJ$2:$AJ$3000)</f>
        <v/>
      </c>
      <c r="G32" s="6" t="n"/>
    </row>
    <row r="33">
      <c r="B33" s="11" t="inlineStr">
        <is>
          <t>Horas de conducción sin paradas</t>
        </is>
      </c>
      <c r="C33" s="17">
        <f>IFERROR(AVERAGE(Datos!$AT$2:$AT$3000),"")</f>
        <v/>
      </c>
      <c r="D33" s="17">
        <f>IFERROR(AVERAGEIFS(Datos!$AT$2:$AT$3000,Datos!$BX$2:$BX$3000,"Varón"),"")</f>
        <v/>
      </c>
      <c r="E33" s="17">
        <f>IFERROR(AVERAGEIFS(Datos!$AT$2:$AT$3000,Datos!$BX$2:$BX$3000,"Mujer"),"")</f>
        <v/>
      </c>
      <c r="F33" s="11">
        <f>COUNT(Datos!$AT$2:$AT$3000)</f>
        <v/>
      </c>
      <c r="G33" s="6" t="n"/>
    </row>
    <row r="34">
      <c r="B34" s="11" t="inlineStr">
        <is>
          <t>Horas de sueño por día</t>
        </is>
      </c>
      <c r="C34" s="17">
        <f>IFERROR(AVERAGE(Datos!$AX$2:$AX$3000),"")</f>
        <v/>
      </c>
      <c r="D34" s="17">
        <f>IFERROR(AVERAGEIFS(Datos!$AX$2:$AX$3000,Datos!$BX$2:$BX$3000,"Varón"),"")</f>
        <v/>
      </c>
      <c r="E34" s="17">
        <f>IFERROR(AVERAGEIFS(Datos!$AX$2:$AX$3000,Datos!$BX$2:$BX$3000,"Mujer"),"")</f>
        <v/>
      </c>
      <c r="F34" s="11">
        <f>COUNT(Datos!$AX$2:$AX$3000)</f>
        <v/>
      </c>
      <c r="G34" s="6" t="n"/>
    </row>
    <row r="35">
      <c r="B35" s="6" t="n"/>
      <c r="C35" s="6" t="n"/>
      <c r="D35" s="6" t="n"/>
      <c r="E35" s="6" t="n"/>
      <c r="F35" s="6" t="n"/>
      <c r="G35" s="6" t="n"/>
    </row>
    <row r="36">
      <c r="B36" s="8" t="inlineStr">
        <is>
          <t>Riesgo de diabetes a 10 años (FINDRISK)</t>
        </is>
      </c>
      <c r="C36" s="6" t="n"/>
      <c r="D36" s="6" t="n"/>
      <c r="E36" s="6" t="n"/>
      <c r="F36" s="6" t="n"/>
      <c r="G36" s="6" t="n"/>
    </row>
    <row r="37">
      <c r="B37" s="7" t="inlineStr">
        <is>
          <t>Solo personas sin diagnóstico de diabetes y con sexo mujer o varón.</t>
        </is>
      </c>
      <c r="C37" s="6" t="n"/>
      <c r="D37" s="6" t="n"/>
      <c r="E37" s="6" t="n"/>
      <c r="F37" s="6" t="n"/>
      <c r="G37" s="6" t="n"/>
    </row>
    <row r="38">
      <c r="B38" s="9" t="inlineStr">
        <is>
          <t>Categoría</t>
        </is>
      </c>
      <c r="C38" s="10" t="inlineStr">
        <is>
          <t>n</t>
        </is>
      </c>
      <c r="D38" s="10" t="inlineStr">
        <is>
          <t>%</t>
        </is>
      </c>
      <c r="E38" s="10" t="inlineStr">
        <is>
          <t>Varón (n)</t>
        </is>
      </c>
      <c r="F38" s="10" t="inlineStr">
        <is>
          <t>Mujer (n)</t>
        </is>
      </c>
      <c r="G38" s="6" t="n"/>
    </row>
    <row r="39">
      <c r="B39" s="11" t="inlineStr">
        <is>
          <t>Bajo</t>
        </is>
      </c>
      <c r="C39" s="11">
        <f>COUNTIF(Datos!$CT$2:$CT$3000,"Bajo")</f>
        <v/>
      </c>
      <c r="D39" s="18">
        <f>IF($C$44=0,"",C39/$C$44)</f>
        <v/>
      </c>
      <c r="E39" s="11">
        <f>COUNTIFS(Datos!$CT$2:$CT$3000,"Bajo",Datos!$BX$2:$BX$3000,"Varón")</f>
        <v/>
      </c>
      <c r="F39" s="11">
        <f>COUNTIFS(Datos!$CT$2:$CT$3000,"Bajo",Datos!$BX$2:$BX$3000,"Mujer")</f>
        <v/>
      </c>
      <c r="G39" s="6" t="n"/>
    </row>
    <row r="40">
      <c r="B40" s="11" t="inlineStr">
        <is>
          <t>Ligeramente elevado</t>
        </is>
      </c>
      <c r="C40" s="11">
        <f>COUNTIF(Datos!$CT$2:$CT$3000,"Ligeramente elevado")</f>
        <v/>
      </c>
      <c r="D40" s="18">
        <f>IF($C$44=0,"",C40/$C$44)</f>
        <v/>
      </c>
      <c r="E40" s="11">
        <f>COUNTIFS(Datos!$CT$2:$CT$3000,"Ligeramente elevado",Datos!$BX$2:$BX$3000,"Varón")</f>
        <v/>
      </c>
      <c r="F40" s="11">
        <f>COUNTIFS(Datos!$CT$2:$CT$3000,"Ligeramente elevado",Datos!$BX$2:$BX$3000,"Mujer")</f>
        <v/>
      </c>
      <c r="G40" s="6" t="n"/>
    </row>
    <row r="41">
      <c r="B41" s="11" t="inlineStr">
        <is>
          <t>Moderado</t>
        </is>
      </c>
      <c r="C41" s="11">
        <f>COUNTIF(Datos!$CT$2:$CT$3000,"Moderado")</f>
        <v/>
      </c>
      <c r="D41" s="18">
        <f>IF($C$44=0,"",C41/$C$44)</f>
        <v/>
      </c>
      <c r="E41" s="11">
        <f>COUNTIFS(Datos!$CT$2:$CT$3000,"Moderado",Datos!$BX$2:$BX$3000,"Varón")</f>
        <v/>
      </c>
      <c r="F41" s="11">
        <f>COUNTIFS(Datos!$CT$2:$CT$3000,"Moderado",Datos!$BX$2:$BX$3000,"Mujer")</f>
        <v/>
      </c>
      <c r="G41" s="6" t="n"/>
    </row>
    <row r="42">
      <c r="B42" s="11" t="inlineStr">
        <is>
          <t>Alto</t>
        </is>
      </c>
      <c r="C42" s="11">
        <f>COUNTIF(Datos!$CT$2:$CT$3000,"Alto")</f>
        <v/>
      </c>
      <c r="D42" s="18">
        <f>IF($C$44=0,"",C42/$C$44)</f>
        <v/>
      </c>
      <c r="E42" s="11">
        <f>COUNTIFS(Datos!$CT$2:$CT$3000,"Alto",Datos!$BX$2:$BX$3000,"Varón")</f>
        <v/>
      </c>
      <c r="F42" s="11">
        <f>COUNTIFS(Datos!$CT$2:$CT$3000,"Alto",Datos!$BX$2:$BX$3000,"Mujer")</f>
        <v/>
      </c>
      <c r="G42" s="6" t="n"/>
    </row>
    <row r="43">
      <c r="B43" s="11" t="inlineStr">
        <is>
          <t>Muy alto</t>
        </is>
      </c>
      <c r="C43" s="11">
        <f>COUNTIF(Datos!$CT$2:$CT$3000,"Muy alto")</f>
        <v/>
      </c>
      <c r="D43" s="18">
        <f>IF($C$44=0,"",C43/$C$44)</f>
        <v/>
      </c>
      <c r="E43" s="11">
        <f>COUNTIFS(Datos!$CT$2:$CT$3000,"Muy alto",Datos!$BX$2:$BX$3000,"Varón")</f>
        <v/>
      </c>
      <c r="F43" s="11">
        <f>COUNTIFS(Datos!$CT$2:$CT$3000,"Muy alto",Datos!$BX$2:$BX$3000,"Mujer")</f>
        <v/>
      </c>
      <c r="G43" s="6" t="n"/>
    </row>
    <row r="44">
      <c r="B44" s="19" t="inlineStr">
        <is>
          <t>Respondieron</t>
        </is>
      </c>
      <c r="C44" s="19">
        <f>COUNTA(Datos!$CT$2:$CT$3000)</f>
        <v/>
      </c>
      <c r="D44" s="20" t="n"/>
      <c r="E44" s="19">
        <f>SUM(E39:E43)</f>
        <v/>
      </c>
      <c r="F44" s="19">
        <f>SUM(F39:F43)</f>
        <v/>
      </c>
      <c r="G44" s="6" t="n"/>
    </row>
    <row r="45">
      <c r="B45" s="6" t="n"/>
      <c r="C45" s="6" t="n"/>
      <c r="D45" s="6" t="n"/>
      <c r="E45" s="6" t="n"/>
      <c r="F45" s="6" t="n"/>
      <c r="G45" s="6" t="n"/>
    </row>
    <row r="46">
      <c r="B46" s="6" t="n"/>
      <c r="C46" s="6" t="n"/>
      <c r="D46" s="6" t="n"/>
      <c r="E46" s="6" t="n"/>
      <c r="F46" s="6" t="n"/>
      <c r="G46" s="6" t="n"/>
    </row>
    <row r="47">
      <c r="B47" s="6" t="n"/>
      <c r="C47" s="6" t="n"/>
      <c r="D47" s="6" t="n"/>
      <c r="E47" s="6" t="n"/>
      <c r="F47" s="6" t="n"/>
      <c r="G47" s="6" t="n"/>
    </row>
    <row r="48">
      <c r="B48" s="6" t="n"/>
      <c r="C48" s="6" t="n"/>
      <c r="D48" s="6" t="n"/>
      <c r="E48" s="6" t="n"/>
      <c r="F48" s="6" t="n"/>
      <c r="G48" s="6" t="n"/>
    </row>
    <row r="49">
      <c r="B49" s="6" t="n"/>
      <c r="C49" s="6" t="n"/>
      <c r="D49" s="6" t="n"/>
      <c r="E49" s="6" t="n"/>
      <c r="F49" s="6" t="n"/>
      <c r="G49" s="6" t="n"/>
    </row>
    <row r="50">
      <c r="B50" s="8" t="inlineStr">
        <is>
          <t>Riesgo cardiovascular a 10 años (Framingham con IMC)</t>
        </is>
      </c>
      <c r="C50" s="6" t="n"/>
      <c r="D50" s="6" t="n"/>
      <c r="E50" s="6" t="n"/>
      <c r="F50" s="6" t="n"/>
      <c r="G50" s="6" t="n"/>
    </row>
    <row r="51">
      <c r="B51" s="7" t="inlineStr">
        <is>
          <t>Bajo: menos de 10 %. Moderado: 10 a 19 %. Alto: 20 % o más. Edades de 20 a 79 años.</t>
        </is>
      </c>
      <c r="C51" s="6" t="n"/>
      <c r="D51" s="6" t="n"/>
      <c r="E51" s="6" t="n"/>
      <c r="F51" s="6" t="n"/>
      <c r="G51" s="6" t="n"/>
    </row>
    <row r="52">
      <c r="B52" s="9" t="inlineStr">
        <is>
          <t>Categoría</t>
        </is>
      </c>
      <c r="C52" s="10" t="inlineStr">
        <is>
          <t>n</t>
        </is>
      </c>
      <c r="D52" s="10" t="inlineStr">
        <is>
          <t>%</t>
        </is>
      </c>
      <c r="E52" s="10" t="inlineStr">
        <is>
          <t>Varón (n)</t>
        </is>
      </c>
      <c r="F52" s="10" t="inlineStr">
        <is>
          <t>Mujer (n)</t>
        </is>
      </c>
      <c r="G52" s="6" t="n"/>
    </row>
    <row r="53">
      <c r="B53" s="11" t="inlineStr">
        <is>
          <t>Bajo</t>
        </is>
      </c>
      <c r="C53" s="11">
        <f>COUNTIF(Datos!$CY$2:$CY$3000,"Bajo")</f>
        <v/>
      </c>
      <c r="D53" s="18">
        <f>IF($C$56=0,"",C53/$C$56)</f>
        <v/>
      </c>
      <c r="E53" s="11">
        <f>COUNTIFS(Datos!$CY$2:$CY$3000,"Bajo",Datos!$BX$2:$BX$3000,"Varón")</f>
        <v/>
      </c>
      <c r="F53" s="11">
        <f>COUNTIFS(Datos!$CY$2:$CY$3000,"Bajo",Datos!$BX$2:$BX$3000,"Mujer")</f>
        <v/>
      </c>
      <c r="G53" s="6" t="n"/>
    </row>
    <row r="54">
      <c r="B54" s="11" t="inlineStr">
        <is>
          <t>Moderado</t>
        </is>
      </c>
      <c r="C54" s="11">
        <f>COUNTIF(Datos!$CY$2:$CY$3000,"Moderado")</f>
        <v/>
      </c>
      <c r="D54" s="18">
        <f>IF($C$56=0,"",C54/$C$56)</f>
        <v/>
      </c>
      <c r="E54" s="11">
        <f>COUNTIFS(Datos!$CY$2:$CY$3000,"Moderado",Datos!$BX$2:$BX$3000,"Varón")</f>
        <v/>
      </c>
      <c r="F54" s="11">
        <f>COUNTIFS(Datos!$CY$2:$CY$3000,"Moderado",Datos!$BX$2:$BX$3000,"Mujer")</f>
        <v/>
      </c>
      <c r="G54" s="6" t="n"/>
    </row>
    <row r="55">
      <c r="B55" s="11" t="inlineStr">
        <is>
          <t>Alto</t>
        </is>
      </c>
      <c r="C55" s="11">
        <f>COUNTIF(Datos!$CY$2:$CY$3000,"Alto")</f>
        <v/>
      </c>
      <c r="D55" s="18">
        <f>IF($C$56=0,"",C55/$C$56)</f>
        <v/>
      </c>
      <c r="E55" s="11">
        <f>COUNTIFS(Datos!$CY$2:$CY$3000,"Alto",Datos!$BX$2:$BX$3000,"Varón")</f>
        <v/>
      </c>
      <c r="F55" s="11">
        <f>COUNTIFS(Datos!$CY$2:$CY$3000,"Alto",Datos!$BX$2:$BX$3000,"Mujer")</f>
        <v/>
      </c>
      <c r="G55" s="6" t="n"/>
    </row>
    <row r="56">
      <c r="B56" s="19" t="inlineStr">
        <is>
          <t>Respondieron</t>
        </is>
      </c>
      <c r="C56" s="19">
        <f>COUNTA(Datos!$CY$2:$CY$3000)</f>
        <v/>
      </c>
      <c r="D56" s="20" t="n"/>
      <c r="E56" s="19">
        <f>SUM(E53:E55)</f>
        <v/>
      </c>
      <c r="F56" s="19">
        <f>SUM(F53:F55)</f>
        <v/>
      </c>
      <c r="G56" s="6" t="n"/>
    </row>
    <row r="57">
      <c r="B57" s="6" t="n"/>
      <c r="C57" s="6" t="n"/>
      <c r="D57" s="6" t="n"/>
      <c r="E57" s="6" t="n"/>
      <c r="F57" s="6" t="n"/>
      <c r="G57" s="6" t="n"/>
    </row>
    <row r="58">
      <c r="B58" s="6" t="n"/>
      <c r="C58" s="6" t="n"/>
      <c r="D58" s="6" t="n"/>
      <c r="E58" s="6" t="n"/>
      <c r="F58" s="6" t="n"/>
      <c r="G58" s="6" t="n"/>
    </row>
    <row r="59">
      <c r="B59" s="6" t="n"/>
      <c r="C59" s="6" t="n"/>
      <c r="D59" s="6" t="n"/>
      <c r="E59" s="6" t="n"/>
      <c r="F59" s="6" t="n"/>
      <c r="G59" s="6" t="n"/>
    </row>
    <row r="60">
      <c r="B60" s="6" t="n"/>
      <c r="C60" s="6" t="n"/>
      <c r="D60" s="6" t="n"/>
      <c r="E60" s="6" t="n"/>
      <c r="F60" s="6" t="n"/>
      <c r="G60" s="6" t="n"/>
    </row>
    <row r="61">
      <c r="B61" s="6" t="n"/>
      <c r="C61" s="6" t="n"/>
      <c r="D61" s="6" t="n"/>
      <c r="E61" s="6" t="n"/>
      <c r="F61" s="6" t="n"/>
      <c r="G61" s="6" t="n"/>
    </row>
    <row r="62">
      <c r="B62" s="6" t="n"/>
      <c r="C62" s="6" t="n"/>
      <c r="D62" s="6" t="n"/>
      <c r="E62" s="6" t="n"/>
      <c r="F62" s="6" t="n"/>
      <c r="G62" s="6" t="n"/>
    </row>
    <row r="63">
      <c r="B63" s="6" t="n"/>
      <c r="C63" s="6" t="n"/>
      <c r="D63" s="6" t="n"/>
      <c r="E63" s="6" t="n"/>
      <c r="F63" s="6" t="n"/>
      <c r="G63" s="6" t="n"/>
    </row>
    <row r="64">
      <c r="B64" s="8" t="inlineStr">
        <is>
          <t>Estado nutricional según IMC</t>
        </is>
      </c>
      <c r="C64" s="6" t="n"/>
      <c r="D64" s="6" t="n"/>
      <c r="E64" s="6" t="n"/>
      <c r="F64" s="6" t="n"/>
      <c r="G64" s="6" t="n"/>
    </row>
    <row r="65">
      <c r="B65" s="7" t="inlineStr">
        <is>
          <t>Cortes de la OMS para adultos: &lt;18,5 bajo peso; 18,5–24,9 normal; 25–29,9 sobrepeso; ≥30 obesidad.</t>
        </is>
      </c>
      <c r="C65" s="6" t="n"/>
      <c r="D65" s="6" t="n"/>
      <c r="E65" s="6" t="n"/>
      <c r="F65" s="6" t="n"/>
      <c r="G65" s="6" t="n"/>
    </row>
    <row r="66">
      <c r="B66" s="9" t="inlineStr">
        <is>
          <t>Categoría</t>
        </is>
      </c>
      <c r="C66" s="10" t="inlineStr">
        <is>
          <t>n</t>
        </is>
      </c>
      <c r="D66" s="10" t="inlineStr">
        <is>
          <t>%</t>
        </is>
      </c>
      <c r="E66" s="6" t="n"/>
      <c r="F66" s="6" t="n"/>
      <c r="G66" s="6" t="n"/>
    </row>
    <row r="67">
      <c r="B67" s="11" t="inlineStr">
        <is>
          <t>Bajo peso</t>
        </is>
      </c>
      <c r="C67" s="11">
        <f>COUNTIFS(Datos!$CA$2:$CA$3000,"&lt;18.5")</f>
        <v/>
      </c>
      <c r="D67" s="21">
        <f>IF($C$71=0,"",C67/$C$71)</f>
        <v/>
      </c>
      <c r="E67" s="6" t="n"/>
      <c r="F67" s="6" t="n"/>
      <c r="G67" s="6" t="n"/>
    </row>
    <row r="68">
      <c r="B68" s="11" t="inlineStr">
        <is>
          <t>Normal</t>
        </is>
      </c>
      <c r="C68" s="11">
        <f>COUNTIFS(Datos!$CA$2:$CA$3000,"&gt;=18.5",Datos!$CA$2:$CA$3000,"&lt;25")</f>
        <v/>
      </c>
      <c r="D68" s="21">
        <f>IF($C$71=0,"",C68/$C$71)</f>
        <v/>
      </c>
      <c r="E68" s="6" t="n"/>
      <c r="F68" s="6" t="n"/>
      <c r="G68" s="6" t="n"/>
    </row>
    <row r="69">
      <c r="B69" s="11" t="inlineStr">
        <is>
          <t>Sobrepeso</t>
        </is>
      </c>
      <c r="C69" s="11">
        <f>COUNTIFS(Datos!$CA$2:$CA$3000,"&gt;=25",Datos!$CA$2:$CA$3000,"&lt;30")</f>
        <v/>
      </c>
      <c r="D69" s="21">
        <f>IF($C$71=0,"",C69/$C$71)</f>
        <v/>
      </c>
      <c r="E69" s="6" t="n"/>
      <c r="F69" s="6" t="n"/>
      <c r="G69" s="6" t="n"/>
    </row>
    <row r="70">
      <c r="B70" s="11" t="inlineStr">
        <is>
          <t>Obesidad</t>
        </is>
      </c>
      <c r="C70" s="11">
        <f>COUNTIFS(Datos!$CA$2:$CA$3000,"&gt;=30")</f>
        <v/>
      </c>
      <c r="D70" s="21">
        <f>IF($C$71=0,"",C70/$C$71)</f>
        <v/>
      </c>
      <c r="E70" s="6" t="n"/>
      <c r="F70" s="6" t="n"/>
      <c r="G70" s="6" t="n"/>
    </row>
    <row r="71">
      <c r="B71" s="19" t="inlineStr">
        <is>
          <t>Con IMC registrado</t>
        </is>
      </c>
      <c r="C71" s="19">
        <f>COUNT(Datos!$CA$2:$CA$3000)</f>
        <v/>
      </c>
      <c r="D71" s="20" t="n"/>
      <c r="E71" s="6" t="n"/>
      <c r="F71" s="6" t="n"/>
      <c r="G71" s="6" t="n"/>
    </row>
    <row r="72">
      <c r="B72" s="6" t="n"/>
      <c r="C72" s="6" t="n"/>
      <c r="D72" s="6" t="n"/>
      <c r="E72" s="6" t="n"/>
      <c r="F72" s="6" t="n"/>
      <c r="G72" s="6" t="n"/>
    </row>
    <row r="73">
      <c r="B73" s="6" t="n"/>
      <c r="C73" s="6" t="n"/>
      <c r="D73" s="6" t="n"/>
      <c r="E73" s="6" t="n"/>
      <c r="F73" s="6" t="n"/>
      <c r="G73" s="6" t="n"/>
    </row>
    <row r="74">
      <c r="B74" s="6" t="n"/>
      <c r="C74" s="6" t="n"/>
      <c r="D74" s="6" t="n"/>
      <c r="E74" s="6" t="n"/>
      <c r="F74" s="6" t="n"/>
      <c r="G74" s="6" t="n"/>
    </row>
    <row r="75">
      <c r="B75" s="6" t="n"/>
      <c r="C75" s="6" t="n"/>
      <c r="D75" s="6" t="n"/>
      <c r="E75" s="6" t="n"/>
      <c r="F75" s="6" t="n"/>
      <c r="G75" s="6" t="n"/>
    </row>
    <row r="76">
      <c r="B76" s="6" t="n"/>
      <c r="C76" s="6" t="n"/>
      <c r="D76" s="6" t="n"/>
      <c r="E76" s="6" t="n"/>
      <c r="F76" s="6" t="n"/>
      <c r="G76" s="6" t="n"/>
    </row>
    <row r="77">
      <c r="B77" s="6" t="n"/>
      <c r="C77" s="6" t="n"/>
      <c r="D77" s="6" t="n"/>
      <c r="E77" s="6" t="n"/>
      <c r="F77" s="6" t="n"/>
      <c r="G77" s="6" t="n"/>
    </row>
    <row r="78">
      <c r="B78" s="8" t="inlineStr">
        <is>
          <t>Prevalencias (respuesta «Sí»)</t>
        </is>
      </c>
      <c r="C78" s="6" t="n"/>
      <c r="D78" s="6" t="n"/>
      <c r="E78" s="6" t="n"/>
      <c r="F78" s="6" t="n"/>
      <c r="G78" s="6" t="n"/>
    </row>
    <row r="79">
      <c r="B79" s="9" t="inlineStr">
        <is>
          <t>Indicador</t>
        </is>
      </c>
      <c r="C79" s="10" t="inlineStr">
        <is>
          <t>Sí (n)</t>
        </is>
      </c>
      <c r="D79" s="10" t="inlineStr">
        <is>
          <t>Respondieron</t>
        </is>
      </c>
      <c r="E79" s="10" t="inlineStr">
        <is>
          <t>%</t>
        </is>
      </c>
      <c r="F79" s="6" t="n"/>
      <c r="G79" s="6" t="n"/>
    </row>
    <row r="80">
      <c r="B80" s="11" t="inlineStr">
        <is>
          <t>Fuma tabaco</t>
        </is>
      </c>
      <c r="C80" s="11">
        <f>COUNTIF(Datos!$CK$2:$CK$3000,"Sí")</f>
        <v/>
      </c>
      <c r="D80" s="11">
        <f>COUNTA(Datos!$CK$2:$CK$3000)</f>
        <v/>
      </c>
      <c r="E80" s="18">
        <f>IF(D80=0,"",C80/D80)</f>
        <v/>
      </c>
      <c r="F80" s="6" t="n"/>
      <c r="G80" s="6" t="n"/>
    </row>
    <row r="81">
      <c r="B81" s="11" t="inlineStr">
        <is>
          <t>Coquea</t>
        </is>
      </c>
      <c r="C81" s="11">
        <f>COUNTIF(Datos!$BS$2:$BS$3000,"Sí")</f>
        <v/>
      </c>
      <c r="D81" s="11">
        <f>COUNTA(Datos!$BS$2:$BS$3000)</f>
        <v/>
      </c>
      <c r="E81" s="18">
        <f>IF(D81=0,"",C81/D81)</f>
        <v/>
      </c>
      <c r="F81" s="6" t="n"/>
      <c r="G81" s="6" t="n"/>
    </row>
    <row r="82">
      <c r="B82" s="11" t="inlineStr">
        <is>
          <t>Consume alcohol (fuera del trabajo)</t>
        </is>
      </c>
      <c r="C82" s="11">
        <f>COUNTIF(Datos!$BT$2:$BT$3000,"Sí")</f>
        <v/>
      </c>
      <c r="D82" s="11">
        <f>COUNTA(Datos!$BT$2:$BT$3000)</f>
        <v/>
      </c>
      <c r="E82" s="18">
        <f>IF(D82=0,"",C82/D82)</f>
        <v/>
      </c>
      <c r="F82" s="6" t="n"/>
      <c r="G82" s="6" t="n"/>
    </row>
    <row r="83">
      <c r="B83" s="11" t="inlineStr">
        <is>
          <t>Diagnóstico de hipertensión</t>
        </is>
      </c>
      <c r="C83" s="11">
        <f>COUNTIF(Datos!$CG$2:$CG$3000,"Sí")</f>
        <v/>
      </c>
      <c r="D83" s="11">
        <f>COUNTA(Datos!$CG$2:$CG$3000)</f>
        <v/>
      </c>
      <c r="E83" s="18">
        <f>IF(D83=0,"",C83/D83)</f>
        <v/>
      </c>
      <c r="F83" s="6" t="n"/>
      <c r="G83" s="6" t="n"/>
    </row>
    <row r="84">
      <c r="B84" s="11" t="inlineStr">
        <is>
          <t>Diagnóstico de diabetes</t>
        </is>
      </c>
      <c r="C84" s="11">
        <f>COUNTIF(Datos!$BW$2:$BW$3000,"Sí")</f>
        <v/>
      </c>
      <c r="D84" s="11">
        <f>COUNTA(Datos!$BW$2:$BW$3000)</f>
        <v/>
      </c>
      <c r="E84" s="18">
        <f>IF(D84=0,"",C84/D84)</f>
        <v/>
      </c>
      <c r="F84" s="6" t="n"/>
      <c r="G84" s="6" t="n"/>
    </row>
    <row r="85">
      <c r="B85" s="11" t="inlineStr">
        <is>
          <t>Glucosa elevada alguna vez</t>
        </is>
      </c>
      <c r="C85" s="11">
        <f>COUNTIF(Datos!$CI$2:$CI$3000,"Sí")</f>
        <v/>
      </c>
      <c r="D85" s="11">
        <f>COUNTA(Datos!$CI$2:$CI$3000)</f>
        <v/>
      </c>
      <c r="E85" s="18">
        <f>IF(D85=0,"",C85/D85)</f>
        <v/>
      </c>
      <c r="F85" s="6" t="n"/>
      <c r="G85" s="6" t="n"/>
    </row>
    <row r="86">
      <c r="B86" s="11" t="inlineStr">
        <is>
          <t>Dolores corporales frecuentes</t>
        </is>
      </c>
      <c r="C86" s="11">
        <f>COUNTIF(Datos!$BJ$2:$BJ$3000,"Sí")</f>
        <v/>
      </c>
      <c r="D86" s="11">
        <f>COUNTA(Datos!$BJ$2:$BJ$3000)</f>
        <v/>
      </c>
      <c r="E86" s="18">
        <f>IF(D86=0,"",C86/D86)</f>
        <v/>
      </c>
      <c r="F86" s="6" t="n"/>
      <c r="G86" s="6" t="n"/>
    </row>
    <row r="87">
      <c r="B87" s="11" t="inlineStr">
        <is>
          <t>Siniestro vial en el último año</t>
        </is>
      </c>
      <c r="C87" s="11">
        <f>COUNTIF(Datos!$BD$2:$BD$3000,"Sí")</f>
        <v/>
      </c>
      <c r="D87" s="11">
        <f>COUNTA(Datos!$BD$2:$BD$3000)</f>
        <v/>
      </c>
      <c r="E87" s="18">
        <f>IF(D87=0,"",C87/D87)</f>
        <v/>
      </c>
      <c r="F87" s="6" t="n"/>
      <c r="G87" s="6" t="n"/>
    </row>
    <row r="88">
      <c r="B88" s="11" t="inlineStr">
        <is>
          <t>Cree que su trabajo es un riesgo para su salud</t>
        </is>
      </c>
      <c r="C88" s="11">
        <f>COUNTIF(Datos!$AS$2:$AS$3000,"Sí")</f>
        <v/>
      </c>
      <c r="D88" s="11">
        <f>COUNTA(Datos!$AS$2:$AS$3000)</f>
        <v/>
      </c>
      <c r="E88" s="18">
        <f>IF(D88=0,"",C88/D88)</f>
        <v/>
      </c>
      <c r="F88" s="6" t="n"/>
      <c r="G88" s="6" t="n"/>
    </row>
    <row r="89">
      <c r="B89" s="11" t="inlineStr">
        <is>
          <t>Actividad física diaria (≥30 min)</t>
        </is>
      </c>
      <c r="C89" s="11">
        <f>COUNTIF(Datos!$CE$2:$CE$3000,"Sí")</f>
        <v/>
      </c>
      <c r="D89" s="11">
        <f>COUNTA(Datos!$CE$2:$CE$3000)</f>
        <v/>
      </c>
      <c r="E89" s="18">
        <f>IF(D89=0,"",C89/D89)</f>
        <v/>
      </c>
      <c r="F89" s="6" t="n"/>
      <c r="G89" s="6" t="n"/>
    </row>
    <row r="90">
      <c r="B90" s="11" t="inlineStr">
        <is>
          <t>Frutas o verduras todos los días</t>
        </is>
      </c>
      <c r="C90" s="11">
        <f>COUNTIF(Datos!$CF$2:$CF$3000,"Sí")</f>
        <v/>
      </c>
      <c r="D90" s="11">
        <f>COUNTA(Datos!$CF$2:$CF$3000)</f>
        <v/>
      </c>
      <c r="E90" s="18">
        <f>IF(D90=0,"",C90/D90)</f>
        <v/>
      </c>
      <c r="F90" s="6" t="n"/>
      <c r="G90" s="6" t="n"/>
    </row>
    <row r="91">
      <c r="B91" s="6" t="n"/>
      <c r="C91" s="6" t="n"/>
      <c r="D91" s="6" t="n"/>
      <c r="E91" s="6" t="n"/>
      <c r="F91" s="6" t="n"/>
      <c r="G91" s="6" t="n"/>
    </row>
    <row r="92">
      <c r="B92" s="6" t="n"/>
      <c r="C92" s="6" t="n"/>
      <c r="D92" s="6" t="n"/>
      <c r="E92" s="6" t="n"/>
      <c r="F92" s="6" t="n"/>
      <c r="G92" s="6" t="n"/>
    </row>
    <row r="93">
      <c r="B93" s="6" t="n"/>
      <c r="C93" s="6" t="n"/>
      <c r="D93" s="6" t="n"/>
      <c r="E93" s="6" t="n"/>
      <c r="F93" s="6" t="n"/>
      <c r="G93" s="6" t="n"/>
    </row>
    <row r="94">
      <c r="B94" s="6" t="n"/>
      <c r="C94" s="6" t="n"/>
      <c r="D94" s="6" t="n"/>
      <c r="E94" s="6" t="n"/>
      <c r="F94" s="6" t="n"/>
      <c r="G94" s="6" t="n"/>
    </row>
    <row r="95">
      <c r="B95" s="6" t="n"/>
      <c r="C95" s="6" t="n"/>
      <c r="D95" s="6" t="n"/>
      <c r="E95" s="6" t="n"/>
      <c r="F95" s="6" t="n"/>
      <c r="G95" s="6" t="n"/>
    </row>
    <row r="96">
      <c r="B96" s="6" t="n"/>
      <c r="C96" s="6" t="n"/>
      <c r="D96" s="6" t="n"/>
      <c r="E96" s="6" t="n"/>
      <c r="F96" s="6" t="n"/>
      <c r="G96" s="6" t="n"/>
    </row>
    <row r="97">
      <c r="B97" s="6" t="n"/>
      <c r="C97" s="6" t="n"/>
      <c r="D97" s="6" t="n"/>
      <c r="E97" s="6" t="n"/>
      <c r="F97" s="6" t="n"/>
      <c r="G97" s="6" t="n"/>
    </row>
    <row r="98">
      <c r="B98" s="6" t="n"/>
      <c r="C98" s="6" t="n"/>
      <c r="D98" s="6" t="n"/>
      <c r="E98" s="6" t="n"/>
      <c r="F98" s="6" t="n"/>
      <c r="G98" s="6" t="n"/>
    </row>
    <row r="99">
      <c r="B99" s="6" t="n"/>
      <c r="C99" s="6" t="n"/>
      <c r="D99" s="6" t="n"/>
      <c r="E99" s="6" t="n"/>
      <c r="F99" s="6" t="n"/>
      <c r="G99" s="6" t="n"/>
    </row>
    <row r="100">
      <c r="B100" s="8" t="inlineStr">
        <is>
          <t>Lugar de nacimiento</t>
        </is>
      </c>
      <c r="C100" s="6" t="n"/>
      <c r="D100" s="6" t="n"/>
      <c r="E100" s="6" t="n"/>
      <c r="F100" s="6" t="n"/>
      <c r="G100" s="6" t="n"/>
    </row>
    <row r="101">
      <c r="B101" s="9" t="inlineStr">
        <is>
          <t>Categoría</t>
        </is>
      </c>
      <c r="C101" s="10" t="inlineStr">
        <is>
          <t>n</t>
        </is>
      </c>
      <c r="D101" s="10" t="inlineStr">
        <is>
          <t>%</t>
        </is>
      </c>
      <c r="E101" s="6" t="n"/>
      <c r="F101" s="6" t="n"/>
      <c r="G101" s="6" t="n"/>
    </row>
    <row r="102">
      <c r="B102" s="11" t="inlineStr">
        <is>
          <t>Argentina</t>
        </is>
      </c>
      <c r="C102" s="11">
        <f>COUNTIF(Datos!$W$2:$W$3000,"Argentina")</f>
        <v/>
      </c>
      <c r="D102" s="18">
        <f>IF($C$107=0,"",C102/$C$107)</f>
        <v/>
      </c>
      <c r="E102" s="6" t="n"/>
      <c r="F102" s="6" t="n"/>
      <c r="G102" s="6" t="n"/>
    </row>
    <row r="103">
      <c r="B103" s="11" t="inlineStr">
        <is>
          <t>Brasil</t>
        </is>
      </c>
      <c r="C103" s="11">
        <f>COUNTIF(Datos!$W$2:$W$3000,"Brasil")</f>
        <v/>
      </c>
      <c r="D103" s="18">
        <f>IF($C$107=0,"",C103/$C$107)</f>
        <v/>
      </c>
      <c r="E103" s="6" t="n"/>
      <c r="F103" s="6" t="n"/>
      <c r="G103" s="6" t="n"/>
    </row>
    <row r="104">
      <c r="B104" s="11" t="inlineStr">
        <is>
          <t>Chile</t>
        </is>
      </c>
      <c r="C104" s="11">
        <f>COUNTIF(Datos!$W$2:$W$3000,"Chile")</f>
        <v/>
      </c>
      <c r="D104" s="18">
        <f>IF($C$107=0,"",C104/$C$107)</f>
        <v/>
      </c>
      <c r="E104" s="6" t="n"/>
      <c r="F104" s="6" t="n"/>
      <c r="G104" s="6" t="n"/>
    </row>
    <row r="105">
      <c r="B105" s="11" t="inlineStr">
        <is>
          <t>Paraguay</t>
        </is>
      </c>
      <c r="C105" s="11">
        <f>COUNTIF(Datos!$W$2:$W$3000,"Paraguay")</f>
        <v/>
      </c>
      <c r="D105" s="18">
        <f>IF($C$107=0,"",C105/$C$107)</f>
        <v/>
      </c>
      <c r="E105" s="6" t="n"/>
      <c r="F105" s="6" t="n"/>
      <c r="G105" s="6" t="n"/>
    </row>
    <row r="106">
      <c r="B106" s="11" t="inlineStr">
        <is>
          <t>Otro país</t>
        </is>
      </c>
      <c r="C106" s="11">
        <f>COUNTIF(Datos!$W$2:$W$3000,"Otro país")</f>
        <v/>
      </c>
      <c r="D106" s="18">
        <f>IF($C$107=0,"",C106/$C$107)</f>
        <v/>
      </c>
      <c r="E106" s="6" t="n"/>
      <c r="F106" s="6" t="n"/>
      <c r="G106" s="6" t="n"/>
    </row>
    <row r="107">
      <c r="B107" s="19" t="inlineStr">
        <is>
          <t>Respondieron</t>
        </is>
      </c>
      <c r="C107" s="19">
        <f>COUNTA(Datos!$W$2:$W$3000)</f>
        <v/>
      </c>
      <c r="D107" s="20" t="n"/>
      <c r="E107" s="6" t="n"/>
      <c r="F107" s="6" t="n"/>
      <c r="G107" s="6" t="n"/>
    </row>
    <row r="108">
      <c r="B108" s="6" t="n"/>
      <c r="C108" s="6" t="n"/>
      <c r="D108" s="6" t="n"/>
      <c r="E108" s="6" t="n"/>
      <c r="F108" s="6" t="n"/>
      <c r="G108" s="6" t="n"/>
    </row>
    <row r="109">
      <c r="B109" s="6" t="n"/>
      <c r="C109" s="6" t="n"/>
      <c r="D109" s="6" t="n"/>
      <c r="E109" s="6" t="n"/>
      <c r="F109" s="6" t="n"/>
      <c r="G109" s="6" t="n"/>
    </row>
    <row r="110">
      <c r="B110" s="6" t="n"/>
      <c r="C110" s="6" t="n"/>
      <c r="D110" s="6" t="n"/>
      <c r="E110" s="6" t="n"/>
      <c r="F110" s="6" t="n"/>
      <c r="G110" s="6" t="n"/>
    </row>
    <row r="111">
      <c r="B111" s="6" t="n"/>
      <c r="C111" s="6" t="n"/>
      <c r="D111" s="6" t="n"/>
      <c r="E111" s="6" t="n"/>
      <c r="F111" s="6" t="n"/>
      <c r="G111" s="6" t="n"/>
    </row>
    <row r="112">
      <c r="B112" s="6" t="n"/>
      <c r="C112" s="6" t="n"/>
      <c r="D112" s="6" t="n"/>
      <c r="E112" s="6" t="n"/>
      <c r="F112" s="6" t="n"/>
      <c r="G112" s="6" t="n"/>
    </row>
    <row r="113">
      <c r="B113" s="6" t="n"/>
      <c r="C113" s="6" t="n"/>
      <c r="D113" s="6" t="n"/>
      <c r="E113" s="6" t="n"/>
      <c r="F113" s="6" t="n"/>
      <c r="G113" s="6" t="n"/>
    </row>
    <row r="114">
      <c r="B114" s="8" t="inlineStr">
        <is>
          <t>Máximo nivel educativo alcanzado</t>
        </is>
      </c>
      <c r="C114" s="6" t="n"/>
      <c r="D114" s="6" t="n"/>
      <c r="E114" s="6" t="n"/>
      <c r="F114" s="6" t="n"/>
      <c r="G114" s="6" t="n"/>
    </row>
    <row r="115">
      <c r="B115" s="9" t="inlineStr">
        <is>
          <t>Categoría</t>
        </is>
      </c>
      <c r="C115" s="10" t="inlineStr">
        <is>
          <t>n</t>
        </is>
      </c>
      <c r="D115" s="10" t="inlineStr">
        <is>
          <t>%</t>
        </is>
      </c>
      <c r="E115" s="6" t="n"/>
      <c r="F115" s="6" t="n"/>
      <c r="G115" s="6" t="n"/>
    </row>
    <row r="116">
      <c r="B116" s="11" t="inlineStr">
        <is>
          <t>Primaria completa</t>
        </is>
      </c>
      <c r="C116" s="11">
        <f>COUNTIF(Datos!$Y$2:$Y$3000,"Primaria completa")</f>
        <v/>
      </c>
      <c r="D116" s="18">
        <f>IF($C$123=0,"",C116/$C$123)</f>
        <v/>
      </c>
      <c r="E116" s="6" t="n"/>
      <c r="F116" s="6" t="n"/>
      <c r="G116" s="6" t="n"/>
    </row>
    <row r="117">
      <c r="B117" s="11" t="inlineStr">
        <is>
          <t>Secundaria incompleta</t>
        </is>
      </c>
      <c r="C117" s="11">
        <f>COUNTIF(Datos!$Y$2:$Y$3000,"Secundaria incompleta")</f>
        <v/>
      </c>
      <c r="D117" s="18">
        <f>IF($C$123=0,"",C117/$C$123)</f>
        <v/>
      </c>
      <c r="E117" s="6" t="n"/>
      <c r="F117" s="6" t="n"/>
      <c r="G117" s="6" t="n"/>
    </row>
    <row r="118">
      <c r="B118" s="11" t="inlineStr">
        <is>
          <t>Secundaria completa</t>
        </is>
      </c>
      <c r="C118" s="11">
        <f>COUNTIF(Datos!$Y$2:$Y$3000,"Secundaria completa")</f>
        <v/>
      </c>
      <c r="D118" s="18">
        <f>IF($C$123=0,"",C118/$C$123)</f>
        <v/>
      </c>
      <c r="E118" s="6" t="n"/>
      <c r="F118" s="6" t="n"/>
      <c r="G118" s="6" t="n"/>
    </row>
    <row r="119">
      <c r="B119" s="11" t="inlineStr">
        <is>
          <t>Terciario incompleto</t>
        </is>
      </c>
      <c r="C119" s="11">
        <f>COUNTIF(Datos!$Y$2:$Y$3000,"Terciario incompleto")</f>
        <v/>
      </c>
      <c r="D119" s="18">
        <f>IF($C$123=0,"",C119/$C$123)</f>
        <v/>
      </c>
      <c r="E119" s="6" t="n"/>
      <c r="F119" s="6" t="n"/>
      <c r="G119" s="6" t="n"/>
    </row>
    <row r="120">
      <c r="B120" s="11" t="inlineStr">
        <is>
          <t>Terciario completo</t>
        </is>
      </c>
      <c r="C120" s="11">
        <f>COUNTIF(Datos!$Y$2:$Y$3000,"Terciario completo")</f>
        <v/>
      </c>
      <c r="D120" s="18">
        <f>IF($C$123=0,"",C120/$C$123)</f>
        <v/>
      </c>
      <c r="E120" s="6" t="n"/>
      <c r="F120" s="6" t="n"/>
      <c r="G120" s="6" t="n"/>
    </row>
    <row r="121">
      <c r="B121" s="11" t="inlineStr">
        <is>
          <t>Universitario incompleto</t>
        </is>
      </c>
      <c r="C121" s="11">
        <f>COUNTIF(Datos!$Y$2:$Y$3000,"Universitario incompleto")</f>
        <v/>
      </c>
      <c r="D121" s="18">
        <f>IF($C$123=0,"",C121/$C$123)</f>
        <v/>
      </c>
      <c r="E121" s="6" t="n"/>
      <c r="F121" s="6" t="n"/>
      <c r="G121" s="6" t="n"/>
    </row>
    <row r="122">
      <c r="B122" s="11" t="inlineStr">
        <is>
          <t>Universitario completo</t>
        </is>
      </c>
      <c r="C122" s="11">
        <f>COUNTIF(Datos!$Y$2:$Y$3000,"Universitario completo")</f>
        <v/>
      </c>
      <c r="D122" s="18">
        <f>IF($C$123=0,"",C122/$C$123)</f>
        <v/>
      </c>
      <c r="E122" s="6" t="n"/>
      <c r="F122" s="6" t="n"/>
      <c r="G122" s="6" t="n"/>
    </row>
    <row r="123">
      <c r="B123" s="19" t="inlineStr">
        <is>
          <t>Respondieron</t>
        </is>
      </c>
      <c r="C123" s="19">
        <f>COUNTA(Datos!$Y$2:$Y$3000)</f>
        <v/>
      </c>
      <c r="D123" s="20" t="n"/>
      <c r="E123" s="6" t="n"/>
      <c r="F123" s="6" t="n"/>
      <c r="G123" s="6" t="n"/>
    </row>
    <row r="124">
      <c r="B124" s="6" t="n"/>
      <c r="C124" s="6" t="n"/>
      <c r="D124" s="6" t="n"/>
      <c r="E124" s="6" t="n"/>
      <c r="F124" s="6" t="n"/>
      <c r="G124" s="6" t="n"/>
    </row>
    <row r="125">
      <c r="B125" s="6" t="n"/>
      <c r="C125" s="6" t="n"/>
      <c r="D125" s="6" t="n"/>
      <c r="E125" s="6" t="n"/>
      <c r="F125" s="6" t="n"/>
      <c r="G125" s="6" t="n"/>
    </row>
    <row r="126">
      <c r="B126" s="6" t="n"/>
      <c r="C126" s="6" t="n"/>
      <c r="D126" s="6" t="n"/>
      <c r="E126" s="6" t="n"/>
      <c r="F126" s="6" t="n"/>
      <c r="G126" s="6" t="n"/>
    </row>
    <row r="127">
      <c r="B127" s="6" t="n"/>
      <c r="C127" s="6" t="n"/>
      <c r="D127" s="6" t="n"/>
      <c r="E127" s="6" t="n"/>
      <c r="F127" s="6" t="n"/>
      <c r="G127" s="6" t="n"/>
    </row>
    <row r="128">
      <c r="B128" s="6" t="n"/>
      <c r="C128" s="6" t="n"/>
      <c r="D128" s="6" t="n"/>
      <c r="E128" s="6" t="n"/>
      <c r="F128" s="6" t="n"/>
      <c r="G128" s="6" t="n"/>
    </row>
    <row r="129">
      <c r="B129" s="6" t="n"/>
      <c r="C129" s="6" t="n"/>
      <c r="D129" s="6" t="n"/>
      <c r="E129" s="6" t="n"/>
      <c r="F129" s="6" t="n"/>
      <c r="G129" s="6" t="n"/>
    </row>
    <row r="130">
      <c r="B130" s="8" t="inlineStr">
        <is>
          <t>Recorrido que realiza</t>
        </is>
      </c>
      <c r="C130" s="6" t="n"/>
      <c r="D130" s="6" t="n"/>
      <c r="E130" s="6" t="n"/>
      <c r="F130" s="6" t="n"/>
      <c r="G130" s="6" t="n"/>
    </row>
    <row r="131">
      <c r="B131" s="9" t="inlineStr">
        <is>
          <t>Categoría</t>
        </is>
      </c>
      <c r="C131" s="10" t="inlineStr">
        <is>
          <t>n</t>
        </is>
      </c>
      <c r="D131" s="10" t="inlineStr">
        <is>
          <t>%</t>
        </is>
      </c>
      <c r="E131" s="6" t="n"/>
      <c r="F131" s="6" t="n"/>
      <c r="G131" s="6" t="n"/>
    </row>
    <row r="132">
      <c r="B132" s="11" t="inlineStr">
        <is>
          <t>Viaje provincial (Jujuy)</t>
        </is>
      </c>
      <c r="C132" s="11">
        <f>COUNTIF(Datos!$AK$2:$AK$3000,"Viaje provincial (Jujuy)")</f>
        <v/>
      </c>
      <c r="D132" s="18">
        <f>IF($C$135=0,"",C132/$C$135)</f>
        <v/>
      </c>
      <c r="E132" s="6" t="n"/>
      <c r="F132" s="6" t="n"/>
      <c r="G132" s="6" t="n"/>
    </row>
    <row r="133">
      <c r="B133" s="11" t="inlineStr">
        <is>
          <t>Viaje interprovincial</t>
        </is>
      </c>
      <c r="C133" s="11">
        <f>COUNTIF(Datos!$AK$2:$AK$3000,"Viaje interprovincial")</f>
        <v/>
      </c>
      <c r="D133" s="18">
        <f>IF($C$135=0,"",C133/$C$135)</f>
        <v/>
      </c>
      <c r="E133" s="6" t="n"/>
      <c r="F133" s="6" t="n"/>
      <c r="G133" s="6" t="n"/>
    </row>
    <row r="134">
      <c r="B134" s="11" t="inlineStr">
        <is>
          <t>Viaje internacional</t>
        </is>
      </c>
      <c r="C134" s="11">
        <f>COUNTIF(Datos!$AK$2:$AK$3000,"Viaje internacional")</f>
        <v/>
      </c>
      <c r="D134" s="18">
        <f>IF($C$135=0,"",C134/$C$135)</f>
        <v/>
      </c>
      <c r="E134" s="6" t="n"/>
      <c r="F134" s="6" t="n"/>
      <c r="G134" s="6" t="n"/>
    </row>
    <row r="135">
      <c r="B135" s="19" t="inlineStr">
        <is>
          <t>Respondieron</t>
        </is>
      </c>
      <c r="C135" s="19">
        <f>COUNTA(Datos!$AK$2:$AK$3000)</f>
        <v/>
      </c>
      <c r="D135" s="20" t="n"/>
      <c r="E135" s="6" t="n"/>
      <c r="F135" s="6" t="n"/>
      <c r="G135" s="6" t="n"/>
    </row>
    <row r="136">
      <c r="B136" s="6" t="n"/>
      <c r="C136" s="6" t="n"/>
      <c r="D136" s="6" t="n"/>
      <c r="E136" s="6" t="n"/>
      <c r="F136" s="6" t="n"/>
      <c r="G136" s="6" t="n"/>
    </row>
    <row r="137">
      <c r="B137" s="6" t="n"/>
      <c r="C137" s="6" t="n"/>
      <c r="D137" s="6" t="n"/>
      <c r="E137" s="6" t="n"/>
      <c r="F137" s="6" t="n"/>
      <c r="G137" s="6" t="n"/>
    </row>
    <row r="138">
      <c r="B138" s="6" t="n"/>
      <c r="C138" s="6" t="n"/>
      <c r="D138" s="6" t="n"/>
      <c r="E138" s="6" t="n"/>
      <c r="F138" s="6" t="n"/>
      <c r="G138" s="6" t="n"/>
    </row>
    <row r="139">
      <c r="B139" s="6" t="n"/>
      <c r="C139" s="6" t="n"/>
      <c r="D139" s="6" t="n"/>
      <c r="E139" s="6" t="n"/>
      <c r="F139" s="6" t="n"/>
      <c r="G139" s="6" t="n"/>
    </row>
    <row r="140">
      <c r="B140" s="6" t="n"/>
      <c r="C140" s="6" t="n"/>
      <c r="D140" s="6" t="n"/>
      <c r="E140" s="6" t="n"/>
      <c r="F140" s="6" t="n"/>
      <c r="G140" s="6" t="n"/>
    </row>
    <row r="141">
      <c r="B141" s="6" t="n"/>
      <c r="C141" s="6" t="n"/>
      <c r="D141" s="6" t="n"/>
      <c r="E141" s="6" t="n"/>
      <c r="F141" s="6" t="n"/>
      <c r="G141" s="6" t="n"/>
    </row>
    <row r="142">
      <c r="B142" s="6" t="n"/>
      <c r="C142" s="6" t="n"/>
      <c r="D142" s="6" t="n"/>
      <c r="E142" s="6" t="n"/>
      <c r="F142" s="6" t="n"/>
      <c r="G142" s="6" t="n"/>
    </row>
    <row r="143">
      <c r="B143" s="6" t="n"/>
      <c r="C143" s="6" t="n"/>
      <c r="D143" s="6" t="n"/>
      <c r="E143" s="6" t="n"/>
      <c r="F143" s="6" t="n"/>
      <c r="G143" s="6" t="n"/>
    </row>
    <row r="144">
      <c r="B144" s="8" t="inlineStr">
        <is>
          <t>Relación laboral</t>
        </is>
      </c>
      <c r="C144" s="6" t="n"/>
      <c r="D144" s="6" t="n"/>
      <c r="E144" s="6" t="n"/>
      <c r="F144" s="6" t="n"/>
      <c r="G144" s="6" t="n"/>
    </row>
    <row r="145">
      <c r="B145" s="9" t="inlineStr">
        <is>
          <t>Categoría</t>
        </is>
      </c>
      <c r="C145" s="10" t="inlineStr">
        <is>
          <t>n</t>
        </is>
      </c>
      <c r="D145" s="10" t="inlineStr">
        <is>
          <t>%</t>
        </is>
      </c>
      <c r="E145" s="6" t="n"/>
      <c r="F145" s="6" t="n"/>
      <c r="G145" s="6" t="n"/>
    </row>
    <row r="146">
      <c r="B146" s="11" t="inlineStr">
        <is>
          <t>Empleado</t>
        </is>
      </c>
      <c r="C146" s="11">
        <f>COUNTIF(Datos!$AP$2:$AP$3000,"Empleado")</f>
        <v/>
      </c>
      <c r="D146" s="18">
        <f>IF($C$149=0,"",C146/$C$149)</f>
        <v/>
      </c>
      <c r="E146" s="6" t="n"/>
      <c r="F146" s="6" t="n"/>
      <c r="G146" s="6" t="n"/>
    </row>
    <row r="147">
      <c r="B147" s="11" t="inlineStr">
        <is>
          <t>Dueño del camión</t>
        </is>
      </c>
      <c r="C147" s="11">
        <f>COUNTIF(Datos!$AP$2:$AP$3000,"Dueño del camión")</f>
        <v/>
      </c>
      <c r="D147" s="18">
        <f>IF($C$149=0,"",C147/$C$149)</f>
        <v/>
      </c>
      <c r="E147" s="6" t="n"/>
      <c r="F147" s="6" t="n"/>
      <c r="G147" s="6" t="n"/>
    </row>
    <row r="148">
      <c r="B148" s="11" t="inlineStr">
        <is>
          <t>Otro</t>
        </is>
      </c>
      <c r="C148" s="11">
        <f>COUNTIF(Datos!$AP$2:$AP$3000,"Otro")</f>
        <v/>
      </c>
      <c r="D148" s="18">
        <f>IF($C$149=0,"",C148/$C$149)</f>
        <v/>
      </c>
      <c r="E148" s="6" t="n"/>
      <c r="F148" s="6" t="n"/>
      <c r="G148" s="6" t="n"/>
    </row>
    <row r="149">
      <c r="B149" s="19" t="inlineStr">
        <is>
          <t>Respondieron</t>
        </is>
      </c>
      <c r="C149" s="19">
        <f>COUNTA(Datos!$AP$2:$AP$3000)</f>
        <v/>
      </c>
      <c r="D149" s="20" t="n"/>
      <c r="E149" s="6" t="n"/>
      <c r="F149" s="6" t="n"/>
      <c r="G149" s="6" t="n"/>
    </row>
    <row r="150">
      <c r="B150" s="6" t="n"/>
      <c r="C150" s="6" t="n"/>
      <c r="D150" s="6" t="n"/>
      <c r="E150" s="6" t="n"/>
      <c r="F150" s="6" t="n"/>
      <c r="G150" s="6" t="n"/>
    </row>
    <row r="151">
      <c r="B151" s="6" t="n"/>
      <c r="C151" s="6" t="n"/>
      <c r="D151" s="6" t="n"/>
      <c r="E151" s="6" t="n"/>
      <c r="F151" s="6" t="n"/>
      <c r="G151" s="6" t="n"/>
    </row>
    <row r="152">
      <c r="B152" s="6" t="n"/>
      <c r="C152" s="6" t="n"/>
      <c r="D152" s="6" t="n"/>
      <c r="E152" s="6" t="n"/>
      <c r="F152" s="6" t="n"/>
      <c r="G152" s="6" t="n"/>
    </row>
    <row r="153">
      <c r="B153" s="6" t="n"/>
      <c r="C153" s="6" t="n"/>
      <c r="D153" s="6" t="n"/>
      <c r="E153" s="6" t="n"/>
      <c r="F153" s="6" t="n"/>
      <c r="G153" s="6" t="n"/>
    </row>
    <row r="154">
      <c r="B154" s="6" t="n"/>
      <c r="C154" s="6" t="n"/>
      <c r="D154" s="6" t="n"/>
      <c r="E154" s="6" t="n"/>
      <c r="F154" s="6" t="n"/>
      <c r="G154" s="6" t="n"/>
    </row>
    <row r="155">
      <c r="B155" s="6" t="n"/>
      <c r="C155" s="6" t="n"/>
      <c r="D155" s="6" t="n"/>
      <c r="E155" s="6" t="n"/>
      <c r="F155" s="6" t="n"/>
      <c r="G155" s="6" t="n"/>
    </row>
    <row r="156">
      <c r="B156" s="6" t="n"/>
      <c r="C156" s="6" t="n"/>
      <c r="D156" s="6" t="n"/>
      <c r="E156" s="6" t="n"/>
      <c r="F156" s="6" t="n"/>
      <c r="G156" s="6" t="n"/>
    </row>
    <row r="157">
      <c r="B157" s="6" t="n"/>
      <c r="C157" s="6" t="n"/>
      <c r="D157" s="6" t="n"/>
      <c r="E157" s="6" t="n"/>
      <c r="F157" s="6" t="n"/>
      <c r="G157" s="6" t="n"/>
    </row>
    <row r="158">
      <c r="B158" s="8" t="inlineStr">
        <is>
          <t>Estado de las rutas en Jujuy</t>
        </is>
      </c>
      <c r="C158" s="6" t="n"/>
      <c r="D158" s="6" t="n"/>
      <c r="E158" s="6" t="n"/>
      <c r="F158" s="6" t="n"/>
      <c r="G158" s="6" t="n"/>
    </row>
    <row r="159">
      <c r="B159" s="9" t="inlineStr">
        <is>
          <t>Categoría</t>
        </is>
      </c>
      <c r="C159" s="10" t="inlineStr">
        <is>
          <t>n</t>
        </is>
      </c>
      <c r="D159" s="10" t="inlineStr">
        <is>
          <t>%</t>
        </is>
      </c>
      <c r="E159" s="6" t="n"/>
      <c r="F159" s="6" t="n"/>
      <c r="G159" s="6" t="n"/>
    </row>
    <row r="160">
      <c r="B160" s="11" t="inlineStr">
        <is>
          <t>Muy bueno</t>
        </is>
      </c>
      <c r="C160" s="11">
        <f>COUNTIF(Datos!$AI$2:$AI$3000,"Muy bueno")</f>
        <v/>
      </c>
      <c r="D160" s="18">
        <f>IF($C$165=0,"",C160/$C$165)</f>
        <v/>
      </c>
      <c r="E160" s="6" t="n"/>
      <c r="F160" s="6" t="n"/>
      <c r="G160" s="6" t="n"/>
    </row>
    <row r="161">
      <c r="B161" s="11" t="inlineStr">
        <is>
          <t>Bueno</t>
        </is>
      </c>
      <c r="C161" s="11">
        <f>COUNTIF(Datos!$AI$2:$AI$3000,"Bueno")</f>
        <v/>
      </c>
      <c r="D161" s="18">
        <f>IF($C$165=0,"",C161/$C$165)</f>
        <v/>
      </c>
      <c r="E161" s="6" t="n"/>
      <c r="F161" s="6" t="n"/>
      <c r="G161" s="6" t="n"/>
    </row>
    <row r="162">
      <c r="B162" s="11" t="inlineStr">
        <is>
          <t>Regular</t>
        </is>
      </c>
      <c r="C162" s="11">
        <f>COUNTIF(Datos!$AI$2:$AI$3000,"Regular")</f>
        <v/>
      </c>
      <c r="D162" s="18">
        <f>IF($C$165=0,"",C162/$C$165)</f>
        <v/>
      </c>
      <c r="E162" s="6" t="n"/>
      <c r="F162" s="6" t="n"/>
      <c r="G162" s="6" t="n"/>
    </row>
    <row r="163">
      <c r="B163" s="11" t="inlineStr">
        <is>
          <t>Malo</t>
        </is>
      </c>
      <c r="C163" s="11">
        <f>COUNTIF(Datos!$AI$2:$AI$3000,"Malo")</f>
        <v/>
      </c>
      <c r="D163" s="18">
        <f>IF($C$165=0,"",C163/$C$165)</f>
        <v/>
      </c>
      <c r="E163" s="6" t="n"/>
      <c r="F163" s="6" t="n"/>
      <c r="G163" s="6" t="n"/>
    </row>
    <row r="164">
      <c r="B164" s="11" t="inlineStr">
        <is>
          <t>Muy malo</t>
        </is>
      </c>
      <c r="C164" s="11">
        <f>COUNTIF(Datos!$AI$2:$AI$3000,"Muy malo")</f>
        <v/>
      </c>
      <c r="D164" s="18">
        <f>IF($C$165=0,"",C164/$C$165)</f>
        <v/>
      </c>
      <c r="E164" s="6" t="n"/>
      <c r="F164" s="6" t="n"/>
      <c r="G164" s="6" t="n"/>
    </row>
    <row r="165">
      <c r="B165" s="19" t="inlineStr">
        <is>
          <t>Respondieron</t>
        </is>
      </c>
      <c r="C165" s="19">
        <f>COUNTA(Datos!$AI$2:$AI$3000)</f>
        <v/>
      </c>
      <c r="D165" s="20" t="n"/>
      <c r="E165" s="6" t="n"/>
      <c r="F165" s="6" t="n"/>
      <c r="G165" s="6" t="n"/>
    </row>
    <row r="166">
      <c r="B166" s="6" t="n"/>
      <c r="C166" s="6" t="n"/>
      <c r="D166" s="6" t="n"/>
      <c r="E166" s="6" t="n"/>
      <c r="F166" s="6" t="n"/>
      <c r="G166" s="6" t="n"/>
    </row>
    <row r="167">
      <c r="B167" s="6" t="n"/>
      <c r="C167" s="6" t="n"/>
      <c r="D167" s="6" t="n"/>
      <c r="E167" s="6" t="n"/>
      <c r="F167" s="6" t="n"/>
      <c r="G167" s="6" t="n"/>
    </row>
    <row r="168">
      <c r="B168" s="6" t="n"/>
      <c r="C168" s="6" t="n"/>
      <c r="D168" s="6" t="n"/>
      <c r="E168" s="6" t="n"/>
      <c r="F168" s="6" t="n"/>
      <c r="G168" s="6" t="n"/>
    </row>
    <row r="169">
      <c r="B169" s="6" t="n"/>
      <c r="C169" s="6" t="n"/>
      <c r="D169" s="6" t="n"/>
      <c r="E169" s="6" t="n"/>
      <c r="F169" s="6" t="n"/>
      <c r="G169" s="6" t="n"/>
    </row>
    <row r="170">
      <c r="B170" s="6" t="n"/>
      <c r="C170" s="6" t="n"/>
      <c r="D170" s="6" t="n"/>
      <c r="E170" s="6" t="n"/>
      <c r="F170" s="6" t="n"/>
      <c r="G170" s="6" t="n"/>
    </row>
    <row r="171">
      <c r="B171" s="6" t="n"/>
      <c r="C171" s="6" t="n"/>
      <c r="D171" s="6" t="n"/>
      <c r="E171" s="6" t="n"/>
      <c r="F171" s="6" t="n"/>
      <c r="G171" s="6" t="n"/>
    </row>
    <row r="172">
      <c r="B172" s="8" t="inlineStr">
        <is>
          <t>Con lo que gana, ¿llega a fin de mes?</t>
        </is>
      </c>
      <c r="C172" s="6" t="n"/>
      <c r="D172" s="6" t="n"/>
      <c r="E172" s="6" t="n"/>
      <c r="F172" s="6" t="n"/>
      <c r="G172" s="6" t="n"/>
    </row>
    <row r="173">
      <c r="B173" s="9" t="inlineStr">
        <is>
          <t>Categoría</t>
        </is>
      </c>
      <c r="C173" s="10" t="inlineStr">
        <is>
          <t>n</t>
        </is>
      </c>
      <c r="D173" s="10" t="inlineStr">
        <is>
          <t>%</t>
        </is>
      </c>
      <c r="E173" s="6" t="n"/>
      <c r="F173" s="6" t="n"/>
      <c r="G173" s="6" t="n"/>
    </row>
    <row r="174">
      <c r="B174" s="11" t="inlineStr">
        <is>
          <t>Sí</t>
        </is>
      </c>
      <c r="C174" s="11">
        <f>COUNTIF(Datos!$BE$2:$BE$3000,"Sí")</f>
        <v/>
      </c>
      <c r="D174" s="18">
        <f>IF($C$177=0,"",C174/$C$177)</f>
        <v/>
      </c>
      <c r="E174" s="6" t="n"/>
      <c r="F174" s="6" t="n"/>
      <c r="G174" s="6" t="n"/>
    </row>
    <row r="175">
      <c r="B175" s="11" t="inlineStr">
        <is>
          <t>Parcialmente</t>
        </is>
      </c>
      <c r="C175" s="11">
        <f>COUNTIF(Datos!$BE$2:$BE$3000,"Parcialmente")</f>
        <v/>
      </c>
      <c r="D175" s="18">
        <f>IF($C$177=0,"",C175/$C$177)</f>
        <v/>
      </c>
      <c r="E175" s="6" t="n"/>
      <c r="F175" s="6" t="n"/>
      <c r="G175" s="6" t="n"/>
    </row>
    <row r="176">
      <c r="B176" s="11" t="inlineStr">
        <is>
          <t>No</t>
        </is>
      </c>
      <c r="C176" s="11">
        <f>COUNTIF(Datos!$BE$2:$BE$3000,"No")</f>
        <v/>
      </c>
      <c r="D176" s="18">
        <f>IF($C$177=0,"",C176/$C$177)</f>
        <v/>
      </c>
      <c r="E176" s="6" t="n"/>
      <c r="F176" s="6" t="n"/>
      <c r="G176" s="6" t="n"/>
    </row>
    <row r="177">
      <c r="B177" s="19" t="inlineStr">
        <is>
          <t>Respondieron</t>
        </is>
      </c>
      <c r="C177" s="19">
        <f>COUNTA(Datos!$BE$2:$BE$3000)</f>
        <v/>
      </c>
      <c r="D177" s="20" t="n"/>
      <c r="E177" s="6" t="n"/>
      <c r="F177" s="6" t="n"/>
      <c r="G177" s="6" t="n"/>
    </row>
    <row r="178">
      <c r="B178" s="6" t="n"/>
      <c r="C178" s="6" t="n"/>
      <c r="D178" s="6" t="n"/>
      <c r="E178" s="6" t="n"/>
      <c r="F178" s="6" t="n"/>
      <c r="G178" s="6" t="n"/>
    </row>
    <row r="179">
      <c r="B179" s="6" t="n"/>
      <c r="C179" s="6" t="n"/>
      <c r="D179" s="6" t="n"/>
      <c r="E179" s="6" t="n"/>
      <c r="F179" s="6" t="n"/>
      <c r="G179" s="6" t="n"/>
    </row>
    <row r="180">
      <c r="B180" s="6" t="n"/>
      <c r="C180" s="6" t="n"/>
      <c r="D180" s="6" t="n"/>
      <c r="E180" s="6" t="n"/>
      <c r="F180" s="6" t="n"/>
      <c r="G180" s="6" t="n"/>
    </row>
    <row r="181">
      <c r="B181" s="6" t="n"/>
      <c r="C181" s="6" t="n"/>
      <c r="D181" s="6" t="n"/>
      <c r="E181" s="6" t="n"/>
      <c r="F181" s="6" t="n"/>
      <c r="G181" s="6" t="n"/>
    </row>
    <row r="182">
      <c r="B182" s="6" t="n"/>
      <c r="C182" s="6" t="n"/>
      <c r="D182" s="6" t="n"/>
      <c r="E182" s="6" t="n"/>
      <c r="F182" s="6" t="n"/>
      <c r="G182" s="6" t="n"/>
    </row>
    <row r="183">
      <c r="B183" s="6" t="n"/>
      <c r="C183" s="6" t="n"/>
      <c r="D183" s="6" t="n"/>
      <c r="E183" s="6" t="n"/>
      <c r="F183" s="6" t="n"/>
      <c r="G183" s="6" t="n"/>
    </row>
    <row r="184">
      <c r="B184" s="6" t="n"/>
      <c r="C184" s="6" t="n"/>
      <c r="D184" s="6" t="n"/>
      <c r="E184" s="6" t="n"/>
      <c r="F184" s="6" t="n"/>
      <c r="G184" s="6" t="n"/>
    </row>
    <row r="185">
      <c r="B185" s="6" t="n"/>
      <c r="C185" s="6" t="n"/>
      <c r="D185" s="6" t="n"/>
      <c r="E185" s="6" t="n"/>
      <c r="F185" s="6" t="n"/>
      <c r="G185" s="6" t="n"/>
    </row>
    <row r="186">
      <c r="B186" s="8" t="inlineStr">
        <is>
          <t>Cobertura médica</t>
        </is>
      </c>
      <c r="C186" s="6" t="n"/>
      <c r="D186" s="6" t="n"/>
      <c r="E186" s="6" t="n"/>
      <c r="F186" s="6" t="n"/>
      <c r="G186" s="6" t="n"/>
    </row>
    <row r="187">
      <c r="B187" s="7" t="inlineStr">
        <is>
          <t>Se puede marcar más de una opción: los porcentajes suman más de 100 %.</t>
        </is>
      </c>
      <c r="C187" s="6" t="n"/>
      <c r="D187" s="6" t="n"/>
      <c r="E187" s="6" t="n"/>
      <c r="F187" s="6" t="n"/>
      <c r="G187" s="6" t="n"/>
    </row>
    <row r="188">
      <c r="B188" s="9" t="inlineStr">
        <is>
          <t>Categoría</t>
        </is>
      </c>
      <c r="C188" s="10" t="inlineStr">
        <is>
          <t>n</t>
        </is>
      </c>
      <c r="D188" s="10" t="inlineStr">
        <is>
          <t>%</t>
        </is>
      </c>
      <c r="E188" s="6" t="n"/>
      <c r="F188" s="6" t="n"/>
      <c r="G188" s="6" t="n"/>
    </row>
    <row r="189">
      <c r="B189" s="11" t="inlineStr">
        <is>
          <t>Obra social</t>
        </is>
      </c>
      <c r="C189" s="11">
        <f>COUNTIF(Datos!$BF$2:$BF$3000,"Obra social")+COUNTIF(Datos!$BF$2:$BF$3000,"Obra social;*")+COUNTIF(Datos!$BF$2:$BF$3000,"*; Obra social")+COUNTIF(Datos!$BF$2:$BF$3000,"*; Obra social;*")</f>
        <v/>
      </c>
      <c r="D189" s="18">
        <f>IF($C$193=0,"",C189/$C$193)</f>
        <v/>
      </c>
      <c r="E189" s="6" t="n"/>
      <c r="F189" s="6" t="n"/>
      <c r="G189" s="6" t="n"/>
    </row>
    <row r="190">
      <c r="B190" s="11" t="inlineStr">
        <is>
          <t>Prepaga</t>
        </is>
      </c>
      <c r="C190" s="11">
        <f>COUNTIF(Datos!$BF$2:$BF$3000,"Prepaga")+COUNTIF(Datos!$BF$2:$BF$3000,"Prepaga;*")+COUNTIF(Datos!$BF$2:$BF$3000,"*; Prepaga")+COUNTIF(Datos!$BF$2:$BF$3000,"*; Prepaga;*")</f>
        <v/>
      </c>
      <c r="D190" s="18">
        <f>IF($C$193=0,"",C190/$C$193)</f>
        <v/>
      </c>
      <c r="E190" s="6" t="n"/>
      <c r="F190" s="6" t="n"/>
      <c r="G190" s="6" t="n"/>
    </row>
    <row r="191">
      <c r="B191" s="11" t="inlineStr">
        <is>
          <t>Seguro de salud</t>
        </is>
      </c>
      <c r="C191" s="11">
        <f>COUNTIF(Datos!$BF$2:$BF$3000,"Seguro de salud")+COUNTIF(Datos!$BF$2:$BF$3000,"Seguro de salud;*")+COUNTIF(Datos!$BF$2:$BF$3000,"*; Seguro de salud")+COUNTIF(Datos!$BF$2:$BF$3000,"*; Seguro de salud;*")</f>
        <v/>
      </c>
      <c r="D191" s="18">
        <f>IF($C$193=0,"",C191/$C$193)</f>
        <v/>
      </c>
      <c r="E191" s="6" t="n"/>
      <c r="F191" s="6" t="n"/>
      <c r="G191" s="6" t="n"/>
    </row>
    <row r="192">
      <c r="B192" s="11" t="inlineStr">
        <is>
          <t>Ninguna</t>
        </is>
      </c>
      <c r="C192" s="11">
        <f>COUNTIF(Datos!$BF$2:$BF$3000,"Ninguna")+COUNTIF(Datos!$BF$2:$BF$3000,"Ninguna;*")+COUNTIF(Datos!$BF$2:$BF$3000,"*; Ninguna")+COUNTIF(Datos!$BF$2:$BF$3000,"*; Ninguna;*")</f>
        <v/>
      </c>
      <c r="D192" s="18">
        <f>IF($C$193=0,"",C192/$C$193)</f>
        <v/>
      </c>
      <c r="E192" s="6" t="n"/>
      <c r="F192" s="6" t="n"/>
      <c r="G192" s="6" t="n"/>
    </row>
    <row r="193">
      <c r="B193" s="19" t="inlineStr">
        <is>
          <t>Respondieron (puede elegirse más de una)</t>
        </is>
      </c>
      <c r="C193" s="19">
        <f>COUNTA(Datos!$BF$2:$BF$3000)</f>
        <v/>
      </c>
      <c r="D193" s="20" t="n"/>
      <c r="E193" s="6" t="n"/>
      <c r="F193" s="6" t="n"/>
      <c r="G193" s="6" t="n"/>
    </row>
    <row r="194">
      <c r="B194" s="6" t="n"/>
      <c r="C194" s="6" t="n"/>
      <c r="D194" s="6" t="n"/>
      <c r="E194" s="6" t="n"/>
      <c r="F194" s="6" t="n"/>
      <c r="G194" s="6" t="n"/>
    </row>
    <row r="195">
      <c r="B195" s="6" t="n"/>
      <c r="C195" s="6" t="n"/>
      <c r="D195" s="6" t="n"/>
      <c r="E195" s="6" t="n"/>
      <c r="F195" s="6" t="n"/>
      <c r="G195" s="6" t="n"/>
    </row>
    <row r="196">
      <c r="B196" s="6" t="n"/>
      <c r="C196" s="6" t="n"/>
      <c r="D196" s="6" t="n"/>
      <c r="E196" s="6" t="n"/>
      <c r="F196" s="6" t="n"/>
      <c r="G196" s="6" t="n"/>
    </row>
    <row r="197">
      <c r="B197" s="6" t="n"/>
      <c r="C197" s="6" t="n"/>
      <c r="D197" s="6" t="n"/>
      <c r="E197" s="6" t="n"/>
      <c r="F197" s="6" t="n"/>
      <c r="G197" s="6" t="n"/>
    </row>
    <row r="198">
      <c r="B198" s="6" t="n"/>
      <c r="C198" s="6" t="n"/>
      <c r="D198" s="6" t="n"/>
      <c r="E198" s="6" t="n"/>
      <c r="F198" s="6" t="n"/>
      <c r="G198" s="6" t="n"/>
    </row>
    <row r="199">
      <c r="B199" s="6" t="n"/>
      <c r="C199" s="6" t="n"/>
      <c r="D199" s="6" t="n"/>
      <c r="E199" s="6" t="n"/>
      <c r="F199" s="6" t="n"/>
      <c r="G199" s="6" t="n"/>
    </row>
    <row r="200">
      <c r="B200" s="8" t="inlineStr">
        <is>
          <t>Dónde come durante los viajes</t>
        </is>
      </c>
      <c r="C200" s="6" t="n"/>
      <c r="D200" s="6" t="n"/>
      <c r="E200" s="6" t="n"/>
      <c r="F200" s="6" t="n"/>
      <c r="G200" s="6" t="n"/>
    </row>
    <row r="201">
      <c r="B201" s="7" t="inlineStr">
        <is>
          <t>Se puede marcar más de una opción: los porcentajes suman más de 100 %.</t>
        </is>
      </c>
      <c r="C201" s="6" t="n"/>
      <c r="D201" s="6" t="n"/>
      <c r="E201" s="6" t="n"/>
      <c r="F201" s="6" t="n"/>
      <c r="G201" s="6" t="n"/>
    </row>
    <row r="202">
      <c r="B202" s="9" t="inlineStr">
        <is>
          <t>Categoría</t>
        </is>
      </c>
      <c r="C202" s="10" t="inlineStr">
        <is>
          <t>n</t>
        </is>
      </c>
      <c r="D202" s="10" t="inlineStr">
        <is>
          <t>%</t>
        </is>
      </c>
      <c r="E202" s="6" t="n"/>
      <c r="F202" s="6" t="n"/>
      <c r="G202" s="6" t="n"/>
    </row>
    <row r="203">
      <c r="B203" s="11" t="inlineStr">
        <is>
          <t>Paradores</t>
        </is>
      </c>
      <c r="C203" s="11">
        <f>COUNTIF(Datos!$AV$2:$AV$3000,"Paradores")+COUNTIF(Datos!$AV$2:$AV$3000,"Paradores;*")+COUNTIF(Datos!$AV$2:$AV$3000,"*; Paradores")+COUNTIF(Datos!$AV$2:$AV$3000,"*; Paradores;*")</f>
        <v/>
      </c>
      <c r="D203" s="18">
        <f>IF($C$208=0,"",C203/$C$208)</f>
        <v/>
      </c>
      <c r="E203" s="6" t="n"/>
      <c r="F203" s="6" t="n"/>
      <c r="G203" s="6" t="n"/>
    </row>
    <row r="204">
      <c r="B204" s="11" t="inlineStr">
        <is>
          <t>En el camión al costado de la ruta</t>
        </is>
      </c>
      <c r="C204" s="11">
        <f>COUNTIF(Datos!$AV$2:$AV$3000,"En el camión al costado de la ruta")+COUNTIF(Datos!$AV$2:$AV$3000,"En el camión al costado de la ruta;*")+COUNTIF(Datos!$AV$2:$AV$3000,"*; En el camión al costado de la ruta")+COUNTIF(Datos!$AV$2:$AV$3000,"*; En el camión al costado de la ruta;*")</f>
        <v/>
      </c>
      <c r="D204" s="18">
        <f>IF($C$208=0,"",C204/$C$208)</f>
        <v/>
      </c>
      <c r="E204" s="6" t="n"/>
      <c r="F204" s="6" t="n"/>
      <c r="G204" s="6" t="n"/>
    </row>
    <row r="205">
      <c r="B205" s="11" t="inlineStr">
        <is>
          <t>Estaciones de servicio</t>
        </is>
      </c>
      <c r="C205" s="11">
        <f>COUNTIF(Datos!$AV$2:$AV$3000,"Estaciones de servicio")+COUNTIF(Datos!$AV$2:$AV$3000,"Estaciones de servicio;*")+COUNTIF(Datos!$AV$2:$AV$3000,"*; Estaciones de servicio")+COUNTIF(Datos!$AV$2:$AV$3000,"*; Estaciones de servicio;*")</f>
        <v/>
      </c>
      <c r="D205" s="18">
        <f>IF($C$208=0,"",C205/$C$208)</f>
        <v/>
      </c>
      <c r="E205" s="6" t="n"/>
      <c r="F205" s="6" t="n"/>
      <c r="G205" s="6" t="n"/>
    </row>
    <row r="206">
      <c r="B206" s="11" t="inlineStr">
        <is>
          <t>En casas de familiares o conocidos</t>
        </is>
      </c>
      <c r="C206" s="11">
        <f>COUNTIF(Datos!$AV$2:$AV$3000,"En casas de familiares o conocidos")+COUNTIF(Datos!$AV$2:$AV$3000,"En casas de familiares o conocidos;*")+COUNTIF(Datos!$AV$2:$AV$3000,"*; En casas de familiares o conocidos")+COUNTIF(Datos!$AV$2:$AV$3000,"*; En casas de familiares o conocidos;*")</f>
        <v/>
      </c>
      <c r="D206" s="18">
        <f>IF($C$208=0,"",C206/$C$208)</f>
        <v/>
      </c>
      <c r="E206" s="6" t="n"/>
      <c r="F206" s="6" t="n"/>
      <c r="G206" s="6" t="n"/>
    </row>
    <row r="207">
      <c r="B207" s="11" t="inlineStr">
        <is>
          <t>Otro</t>
        </is>
      </c>
      <c r="C207" s="11">
        <f>COUNTIF(Datos!$AV$2:$AV$3000,"Otro")+COUNTIF(Datos!$AV$2:$AV$3000,"Otro;*")+COUNTIF(Datos!$AV$2:$AV$3000,"*; Otro")+COUNTIF(Datos!$AV$2:$AV$3000,"*; Otro;*")</f>
        <v/>
      </c>
      <c r="D207" s="18">
        <f>IF($C$208=0,"",C207/$C$208)</f>
        <v/>
      </c>
      <c r="E207" s="6" t="n"/>
      <c r="F207" s="6" t="n"/>
      <c r="G207" s="6" t="n"/>
    </row>
    <row r="208">
      <c r="B208" s="19" t="inlineStr">
        <is>
          <t>Respondieron (puede elegirse más de una)</t>
        </is>
      </c>
      <c r="C208" s="19">
        <f>COUNTA(Datos!$AV$2:$AV$3000)</f>
        <v/>
      </c>
      <c r="D208" s="20" t="n"/>
      <c r="E208" s="6" t="n"/>
      <c r="F208" s="6" t="n"/>
      <c r="G208" s="6" t="n"/>
    </row>
    <row r="209">
      <c r="B209" s="6" t="n"/>
      <c r="C209" s="6" t="n"/>
      <c r="D209" s="6" t="n"/>
      <c r="E209" s="6" t="n"/>
      <c r="F209" s="6" t="n"/>
      <c r="G209" s="6" t="n"/>
    </row>
    <row r="210">
      <c r="B210" s="6" t="n"/>
      <c r="C210" s="6" t="n"/>
      <c r="D210" s="6" t="n"/>
      <c r="E210" s="6" t="n"/>
      <c r="F210" s="6" t="n"/>
      <c r="G210" s="6" t="n"/>
    </row>
    <row r="211">
      <c r="B211" s="6" t="n"/>
      <c r="C211" s="6" t="n"/>
      <c r="D211" s="6" t="n"/>
      <c r="E211" s="6" t="n"/>
      <c r="F211" s="6" t="n"/>
      <c r="G211" s="6" t="n"/>
    </row>
    <row r="212">
      <c r="B212" s="6" t="n"/>
      <c r="C212" s="6" t="n"/>
      <c r="D212" s="6" t="n"/>
      <c r="E212" s="6" t="n"/>
      <c r="F212" s="6" t="n"/>
      <c r="G212" s="6" t="n"/>
    </row>
    <row r="213">
      <c r="B213" s="6" t="n"/>
      <c r="C213" s="6" t="n"/>
      <c r="D213" s="6" t="n"/>
      <c r="E213" s="6" t="n"/>
      <c r="F213" s="6" t="n"/>
      <c r="G213" s="6" t="n"/>
    </row>
    <row r="214">
      <c r="B214" s="8" t="inlineStr">
        <is>
          <t>Bebidas energéticas en viaje</t>
        </is>
      </c>
      <c r="C214" s="6" t="n"/>
      <c r="D214" s="6" t="n"/>
      <c r="E214" s="6" t="n"/>
      <c r="F214" s="6" t="n"/>
      <c r="G214" s="6" t="n"/>
    </row>
    <row r="215">
      <c r="B215" s="7" t="inlineStr">
        <is>
          <t>Se puede marcar más de una opción: los porcentajes suman más de 100 %.</t>
        </is>
      </c>
      <c r="C215" s="6" t="n"/>
      <c r="D215" s="6" t="n"/>
      <c r="E215" s="6" t="n"/>
      <c r="F215" s="6" t="n"/>
      <c r="G215" s="6" t="n"/>
    </row>
    <row r="216">
      <c r="B216" s="9" t="inlineStr">
        <is>
          <t>Categoría</t>
        </is>
      </c>
      <c r="C216" s="10" t="inlineStr">
        <is>
          <t>n</t>
        </is>
      </c>
      <c r="D216" s="10" t="inlineStr">
        <is>
          <t>%</t>
        </is>
      </c>
      <c r="E216" s="6" t="n"/>
      <c r="F216" s="6" t="n"/>
      <c r="G216" s="6" t="n"/>
    </row>
    <row r="217">
      <c r="B217" s="11" t="inlineStr">
        <is>
          <t>No</t>
        </is>
      </c>
      <c r="C217" s="11">
        <f>COUNTIF(Datos!$BQ$2:$BQ$3000,"No")+COUNTIF(Datos!$BQ$2:$BQ$3000,"No;*")+COUNTIF(Datos!$BQ$2:$BQ$3000,"*; No")+COUNTIF(Datos!$BQ$2:$BQ$3000,"*; No;*")</f>
        <v/>
      </c>
      <c r="D217" s="18">
        <f>IF($C$224=0,"",C217/$C$224)</f>
        <v/>
      </c>
      <c r="E217" s="6" t="n"/>
      <c r="F217" s="6" t="n"/>
      <c r="G217" s="6" t="n"/>
    </row>
    <row r="218">
      <c r="B218" s="11" t="inlineStr">
        <is>
          <t>Café</t>
        </is>
      </c>
      <c r="C218" s="11">
        <f>COUNTIF(Datos!$BQ$2:$BQ$3000,"Café")+COUNTIF(Datos!$BQ$2:$BQ$3000,"Café;*")+COUNTIF(Datos!$BQ$2:$BQ$3000,"*; Café")+COUNTIF(Datos!$BQ$2:$BQ$3000,"*; Café;*")</f>
        <v/>
      </c>
      <c r="D218" s="18">
        <f>IF($C$224=0,"",C218/$C$224)</f>
        <v/>
      </c>
      <c r="E218" s="6" t="n"/>
      <c r="F218" s="6" t="n"/>
      <c r="G218" s="6" t="n"/>
    </row>
    <row r="219">
      <c r="B219" s="11" t="inlineStr">
        <is>
          <t>Coca-Cola</t>
        </is>
      </c>
      <c r="C219" s="11">
        <f>COUNTIF(Datos!$BQ$2:$BQ$3000,"Coca-Cola")+COUNTIF(Datos!$BQ$2:$BQ$3000,"Coca-Cola;*")+COUNTIF(Datos!$BQ$2:$BQ$3000,"*; Coca-Cola")+COUNTIF(Datos!$BQ$2:$BQ$3000,"*; Coca-Cola;*")</f>
        <v/>
      </c>
      <c r="D219" s="18">
        <f>IF($C$224=0,"",C219/$C$224)</f>
        <v/>
      </c>
      <c r="E219" s="6" t="n"/>
      <c r="F219" s="6" t="n"/>
      <c r="G219" s="6" t="n"/>
    </row>
    <row r="220">
      <c r="B220" s="11" t="inlineStr">
        <is>
          <t>Pepsi-Cola</t>
        </is>
      </c>
      <c r="C220" s="11">
        <f>COUNTIF(Datos!$BQ$2:$BQ$3000,"Pepsi-Cola")+COUNTIF(Datos!$BQ$2:$BQ$3000,"Pepsi-Cola;*")+COUNTIF(Datos!$BQ$2:$BQ$3000,"*; Pepsi-Cola")+COUNTIF(Datos!$BQ$2:$BQ$3000,"*; Pepsi-Cola;*")</f>
        <v/>
      </c>
      <c r="D220" s="18">
        <f>IF($C$224=0,"",C220/$C$224)</f>
        <v/>
      </c>
      <c r="E220" s="6" t="n"/>
      <c r="F220" s="6" t="n"/>
      <c r="G220" s="6" t="n"/>
    </row>
    <row r="221">
      <c r="B221" s="11" t="inlineStr">
        <is>
          <t>Yerba mate</t>
        </is>
      </c>
      <c r="C221" s="11">
        <f>COUNTIF(Datos!$BQ$2:$BQ$3000,"Yerba mate")+COUNTIF(Datos!$BQ$2:$BQ$3000,"Yerba mate;*")+COUNTIF(Datos!$BQ$2:$BQ$3000,"*; Yerba mate")+COUNTIF(Datos!$BQ$2:$BQ$3000,"*; Yerba mate;*")</f>
        <v/>
      </c>
      <c r="D221" s="18">
        <f>IF($C$224=0,"",C221/$C$224)</f>
        <v/>
      </c>
      <c r="E221" s="6" t="n"/>
      <c r="F221" s="6" t="n"/>
      <c r="G221" s="6" t="n"/>
    </row>
    <row r="222">
      <c r="B222" s="11" t="inlineStr">
        <is>
          <t>Energizantes (Speed, Monster, Red Bull, etc.)</t>
        </is>
      </c>
      <c r="C222" s="11">
        <f>COUNTIF(Datos!$BQ$2:$BQ$3000,"Energizantes (Speed, Monster, Red Bull, etc.)")+COUNTIF(Datos!$BQ$2:$BQ$3000,"Energizantes (Speed, Monster, Red Bull, etc.);*")+COUNTIF(Datos!$BQ$2:$BQ$3000,"*; Energizantes (Speed, Monster, Red Bull, etc.)")+COUNTIF(Datos!$BQ$2:$BQ$3000,"*; Energizantes (Speed, Monster, Red Bull, etc.);*")</f>
        <v/>
      </c>
      <c r="D222" s="18">
        <f>IF($C$224=0,"",C222/$C$224)</f>
        <v/>
      </c>
      <c r="E222" s="6" t="n"/>
      <c r="F222" s="6" t="n"/>
      <c r="G222" s="6" t="n"/>
    </row>
    <row r="223">
      <c r="B223" s="11" t="inlineStr">
        <is>
          <t>Otro</t>
        </is>
      </c>
      <c r="C223" s="11">
        <f>COUNTIF(Datos!$BQ$2:$BQ$3000,"Otro")+COUNTIF(Datos!$BQ$2:$BQ$3000,"Otro;*")+COUNTIF(Datos!$BQ$2:$BQ$3000,"*; Otro")+COUNTIF(Datos!$BQ$2:$BQ$3000,"*; Otro;*")</f>
        <v/>
      </c>
      <c r="D223" s="18">
        <f>IF($C$224=0,"",C223/$C$224)</f>
        <v/>
      </c>
      <c r="E223" s="6" t="n"/>
      <c r="F223" s="6" t="n"/>
      <c r="G223" s="6" t="n"/>
    </row>
    <row r="224">
      <c r="B224" s="19" t="inlineStr">
        <is>
          <t>Respondieron (puede elegirse más de una)</t>
        </is>
      </c>
      <c r="C224" s="19">
        <f>COUNTA(Datos!$BQ$2:$BQ$3000)</f>
        <v/>
      </c>
      <c r="D224" s="20" t="n"/>
      <c r="E224" s="6" t="n"/>
      <c r="F224" s="6" t="n"/>
      <c r="G224" s="6" t="n"/>
    </row>
    <row r="225">
      <c r="B225" s="6" t="n"/>
      <c r="C225" s="6" t="n"/>
      <c r="D225" s="6" t="n"/>
      <c r="E225" s="6" t="n"/>
      <c r="F225" s="6" t="n"/>
      <c r="G225" s="6" t="n"/>
    </row>
    <row r="226">
      <c r="B226" s="6" t="n"/>
      <c r="C226" s="6" t="n"/>
      <c r="D226" s="6" t="n"/>
      <c r="E226" s="6" t="n"/>
      <c r="F226" s="6" t="n"/>
      <c r="G226" s="6" t="n"/>
    </row>
    <row r="227">
      <c r="B227" s="6" t="n"/>
      <c r="C227" s="6" t="n"/>
      <c r="D227" s="6" t="n"/>
      <c r="E227" s="6" t="n"/>
      <c r="F227" s="6" t="n"/>
      <c r="G227" s="6" t="n"/>
    </row>
    <row r="228">
      <c r="B228" s="6" t="n"/>
      <c r="C228" s="6" t="n"/>
      <c r="D228" s="6" t="n"/>
      <c r="E228" s="6" t="n"/>
      <c r="F228" s="6" t="n"/>
      <c r="G228" s="6" t="n"/>
    </row>
    <row r="229">
      <c r="B229" s="6" t="n"/>
      <c r="C229" s="6" t="n"/>
      <c r="D229" s="6" t="n"/>
      <c r="E229" s="6" t="n"/>
      <c r="F229" s="6" t="n"/>
      <c r="G229" s="6" t="n"/>
    </row>
    <row r="230">
      <c r="B230" s="6" t="n"/>
      <c r="C230" s="6" t="n"/>
      <c r="D230" s="6" t="n"/>
      <c r="E230" s="6" t="n"/>
      <c r="F230" s="6" t="n"/>
      <c r="G230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A588F"/>
    <outlinePr summaryBelow="1" summaryRight="1"/>
    <pageSetUpPr/>
  </sheetPr>
  <dimension ref="A1:CY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8" customWidth="1" min="14" max="14"/>
    <col width="16" customWidth="1" min="15" max="15"/>
    <col width="21" customWidth="1" min="16" max="16"/>
    <col width="18" customWidth="1" min="17" max="17"/>
    <col width="16" customWidth="1" min="18" max="18"/>
    <col width="18" customWidth="1" min="19" max="19"/>
    <col width="12" customWidth="1" min="20" max="20"/>
    <col width="23" customWidth="1" min="21" max="21"/>
    <col width="14" customWidth="1" min="22" max="22"/>
    <col width="16" customWidth="1" min="23" max="23"/>
    <col width="19" customWidth="1" min="24" max="24"/>
    <col width="17" customWidth="1" min="25" max="25"/>
    <col width="14" customWidth="1" min="26" max="26"/>
    <col width="15" customWidth="1" min="27" max="27"/>
    <col width="15" customWidth="1" min="28" max="28"/>
    <col width="24" customWidth="1" min="29" max="29"/>
    <col width="12" customWidth="1" min="30" max="30"/>
    <col width="21" customWidth="1" min="31" max="31"/>
    <col width="12" customWidth="1" min="32" max="32"/>
    <col width="16" customWidth="1" min="33" max="33"/>
    <col width="16" customWidth="1" min="34" max="34"/>
    <col width="19" customWidth="1" min="35" max="35"/>
    <col width="20" customWidth="1" min="36" max="36"/>
    <col width="17" customWidth="1" min="37" max="37"/>
    <col width="21" customWidth="1" min="38" max="38"/>
    <col width="26" customWidth="1" min="39" max="39"/>
    <col width="18" customWidth="1" min="40" max="40"/>
    <col width="23" customWidth="1" min="41" max="41"/>
    <col width="24" customWidth="1" min="42" max="42"/>
    <col width="12" customWidth="1" min="43" max="43"/>
    <col width="19" customWidth="1" min="44" max="44"/>
    <col width="20" customWidth="1" min="45" max="45"/>
    <col width="23" customWidth="1" min="46" max="46"/>
    <col width="15" customWidth="1" min="47" max="47"/>
    <col width="18" customWidth="1" min="48" max="48"/>
    <col width="12" customWidth="1" min="49" max="49"/>
    <col width="19" customWidth="1" min="50" max="50"/>
    <col width="23" customWidth="1" min="51" max="51"/>
    <col width="15" customWidth="1" min="52" max="52"/>
    <col width="12" customWidth="1" min="53" max="53"/>
    <col width="18" customWidth="1" min="54" max="54"/>
    <col width="19" customWidth="1" min="55" max="55"/>
    <col width="17" customWidth="1" min="56" max="56"/>
    <col width="18" customWidth="1" min="57" max="57"/>
    <col width="17" customWidth="1" min="58" max="58"/>
    <col width="22" customWidth="1" min="59" max="59"/>
    <col width="21" customWidth="1" min="60" max="60"/>
    <col width="26" customWidth="1" min="61" max="61"/>
    <col width="15" customWidth="1" min="62" max="62"/>
    <col width="14" customWidth="1" min="63" max="63"/>
    <col width="22" customWidth="1" min="64" max="64"/>
    <col width="18" customWidth="1" min="65" max="65"/>
    <col width="20" customWidth="1" min="66" max="66"/>
    <col width="12" customWidth="1" min="67" max="67"/>
    <col width="24" customWidth="1" min="68" max="68"/>
    <col width="19" customWidth="1" min="69" max="69"/>
    <col width="12" customWidth="1" min="70" max="70"/>
    <col width="14" customWidth="1" min="71" max="71"/>
    <col width="15" customWidth="1" min="72" max="72"/>
    <col width="20" customWidth="1" min="73" max="73"/>
    <col width="26" customWidth="1" min="74" max="74"/>
    <col width="12" customWidth="1" min="75" max="75"/>
    <col width="12" customWidth="1" min="76" max="76"/>
    <col width="13" customWidth="1" min="77" max="77"/>
    <col width="14" customWidth="1" min="78" max="78"/>
    <col width="12" customWidth="1" min="79" max="79"/>
    <col width="18" customWidth="1" min="80" max="80"/>
    <col width="14" customWidth="1" min="81" max="81"/>
    <col width="14" customWidth="1" min="82" max="82"/>
    <col width="16" customWidth="1" min="83" max="83"/>
    <col width="16" customWidth="1" min="84" max="84"/>
    <col width="12" customWidth="1" min="85" max="85"/>
    <col width="17" customWidth="1" min="86" max="86"/>
    <col width="20" customWidth="1" min="87" max="87"/>
    <col width="19" customWidth="1" min="88" max="88"/>
    <col width="12" customWidth="1" min="89" max="89"/>
    <col width="12" customWidth="1" min="90" max="90"/>
    <col width="18" customWidth="1" min="91" max="91"/>
    <col width="17" customWidth="1" min="92" max="92"/>
    <col width="19" customWidth="1" min="93" max="93"/>
    <col width="20" customWidth="1" min="94" max="94"/>
    <col width="15" customWidth="1" min="95" max="95"/>
    <col width="13" customWidth="1" min="96" max="96"/>
    <col width="13" customWidth="1" min="97" max="97"/>
    <col width="16" customWidth="1" min="98" max="98"/>
    <col width="19" customWidth="1" min="99" max="99"/>
    <col width="13" customWidth="1" min="100" max="100"/>
    <col width="13" customWidth="1" min="101" max="101"/>
    <col width="13" customWidth="1" min="102" max="102"/>
    <col width="16" customWidth="1" min="103" max="103"/>
  </cols>
  <sheetData>
    <row r="1">
      <c r="A1" s="22" t="inlineStr">
        <is>
          <t>id</t>
        </is>
      </c>
      <c r="B1" s="22" t="inlineStr">
        <is>
          <t>participante_id</t>
        </is>
      </c>
      <c r="C1" s="22" t="inlineStr">
        <is>
          <t>codigo</t>
        </is>
      </c>
      <c r="D1" s="22" t="inlineStr">
        <is>
          <t>orden</t>
        </is>
      </c>
      <c r="E1" s="22" t="inlineStr">
        <is>
          <t>edad</t>
        </is>
      </c>
      <c r="F1" s="22" t="inlineStr">
        <is>
          <t>cp</t>
        </is>
      </c>
      <c r="G1" s="22" t="inlineStr">
        <is>
          <t>fecha</t>
        </is>
      </c>
      <c r="H1" s="22" t="inlineStr">
        <is>
          <t>hora_inicio</t>
        </is>
      </c>
      <c r="I1" s="22" t="inlineStr">
        <is>
          <t>hora_fin</t>
        </is>
      </c>
      <c r="J1" s="22" t="inlineStr">
        <is>
          <t>equipo</t>
        </is>
      </c>
      <c r="K1" s="22" t="inlineStr">
        <is>
          <t>dispositivo</t>
        </is>
      </c>
      <c r="L1" s="22" t="inlineStr">
        <is>
          <t>encuestador</t>
        </is>
      </c>
      <c r="M1" s="22" t="inlineStr">
        <is>
          <t>puesto</t>
        </is>
      </c>
      <c r="N1" s="22" t="inlineStr">
        <is>
          <t>consentimiento</t>
        </is>
      </c>
      <c r="O1" s="22" t="inlineStr">
        <is>
          <t>comparte_app</t>
        </is>
      </c>
      <c r="P1" s="22" t="inlineStr">
        <is>
          <t>socio_respondidas</t>
        </is>
      </c>
      <c r="Q1" s="22" t="inlineStr">
        <is>
          <t>socio_completo</t>
        </is>
      </c>
      <c r="R1" s="22" t="inlineStr">
        <is>
          <t>bio_completo</t>
        </is>
      </c>
      <c r="S1" s="22" t="inlineStr">
        <is>
          <t>gluc_realizada</t>
        </is>
      </c>
      <c r="T1" s="22" t="inlineStr">
        <is>
          <t>estado</t>
        </is>
      </c>
      <c r="U1" s="22" t="inlineStr">
        <is>
          <t>version_instrumento</t>
        </is>
      </c>
      <c r="V1" s="22" t="inlineStr">
        <is>
          <t>modificado</t>
        </is>
      </c>
      <c r="W1" s="22" t="inlineStr">
        <is>
          <t>p01_nac_pais</t>
        </is>
      </c>
      <c r="X1" s="22" t="inlineStr">
        <is>
          <t>p01_nac_detalle</t>
        </is>
      </c>
      <c r="Y1" s="22" t="inlineStr">
        <is>
          <t>p02_educacion</t>
        </is>
      </c>
      <c r="Z1" s="22" t="inlineStr">
        <is>
          <t>p03_pareja</t>
        </is>
      </c>
      <c r="AA1" s="22" t="inlineStr">
        <is>
          <t>p04_convive</t>
        </is>
      </c>
      <c r="AB1" s="22" t="inlineStr">
        <is>
          <t>p05_a_cargo</t>
        </is>
      </c>
      <c r="AC1" s="22" t="inlineStr">
        <is>
          <t>p06_idiomas_entiende</t>
        </is>
      </c>
      <c r="AD1" s="22" t="inlineStr">
        <is>
          <t>p06_otro</t>
        </is>
      </c>
      <c r="AE1" s="22" t="inlineStr">
        <is>
          <t>p07_idiomas_habla</t>
        </is>
      </c>
      <c r="AF1" s="22" t="inlineStr">
        <is>
          <t>p07_otro</t>
        </is>
      </c>
      <c r="AG1" s="22" t="inlineStr">
        <is>
          <t>p08_licencia</t>
        </is>
      </c>
      <c r="AH1" s="22" t="inlineStr">
        <is>
          <t>p08_lic_otro</t>
        </is>
      </c>
      <c r="AI1" s="22" t="inlineStr">
        <is>
          <t>p09_rutas_jujuy</t>
        </is>
      </c>
      <c r="AJ1" s="22" t="inlineStr">
        <is>
          <t>p10_anios_chofer</t>
        </is>
      </c>
      <c r="AK1" s="22" t="inlineStr">
        <is>
          <t>p11_recorrido</t>
        </is>
      </c>
      <c r="AL1" s="22" t="inlineStr">
        <is>
          <t>p12_frec_corredor</t>
        </is>
      </c>
      <c r="AM1" s="22" t="inlineStr">
        <is>
          <t>p12_frec_corredor_otro</t>
        </is>
      </c>
      <c r="AN1" s="22" t="inlineStr">
        <is>
          <t>p12_frec_jujuy</t>
        </is>
      </c>
      <c r="AO1" s="22" t="inlineStr">
        <is>
          <t>p12_frec_jujuy_otro</t>
        </is>
      </c>
      <c r="AP1" s="22" t="inlineStr">
        <is>
          <t>p13_relacion_laboral</t>
        </is>
      </c>
      <c r="AQ1" s="22" t="inlineStr">
        <is>
          <t>p13_otro</t>
        </is>
      </c>
      <c r="AR1" s="22" t="inlineStr">
        <is>
          <t>p14_conformidad</t>
        </is>
      </c>
      <c r="AS1" s="22" t="inlineStr">
        <is>
          <t>p15_riesgo_salud</t>
        </is>
      </c>
      <c r="AT1" s="22" t="inlineStr">
        <is>
          <t>p16_horas_sin_parar</t>
        </is>
      </c>
      <c r="AU1" s="22" t="inlineStr">
        <is>
          <t>p17_paradas</t>
        </is>
      </c>
      <c r="AV1" s="22" t="inlineStr">
        <is>
          <t>p18_donde_come</t>
        </is>
      </c>
      <c r="AW1" s="22" t="inlineStr">
        <is>
          <t>p18_otro</t>
        </is>
      </c>
      <c r="AX1" s="22" t="inlineStr">
        <is>
          <t>p19_horas_sueno</t>
        </is>
      </c>
      <c r="AY1" s="22" t="inlineStr">
        <is>
          <t>p20_frutas_verduras</t>
        </is>
      </c>
      <c r="AZ1" s="22" t="inlineStr">
        <is>
          <t>p21_bebidas</t>
        </is>
      </c>
      <c r="BA1" s="22" t="inlineStr">
        <is>
          <t>p21_otro</t>
        </is>
      </c>
      <c r="BB1" s="22" t="inlineStr">
        <is>
          <t>p22_sanitarios</t>
        </is>
      </c>
      <c r="BC1" s="22" t="inlineStr">
        <is>
          <t>p23_recreativas</t>
        </is>
      </c>
      <c r="BD1" s="22" t="inlineStr">
        <is>
          <t>p24_siniestro</t>
        </is>
      </c>
      <c r="BE1" s="22" t="inlineStr">
        <is>
          <t>p25_fin_de_mes</t>
        </is>
      </c>
      <c r="BF1" s="22" t="inlineStr">
        <is>
          <t>p26_cobertura</t>
        </is>
      </c>
      <c r="BG1" s="22" t="inlineStr">
        <is>
          <t>p27_control_medico</t>
        </is>
      </c>
      <c r="BH1" s="22" t="inlineStr">
        <is>
          <t>p28_frec_consulta</t>
        </is>
      </c>
      <c r="BI1" s="22" t="inlineStr">
        <is>
          <t>p29_atencion_dolencias</t>
        </is>
      </c>
      <c r="BJ1" s="22" t="inlineStr">
        <is>
          <t>p30_dolores</t>
        </is>
      </c>
      <c r="BK1" s="22" t="inlineStr">
        <is>
          <t>p30_cuales</t>
        </is>
      </c>
      <c r="BL1" s="22" t="inlineStr">
        <is>
          <t>p31_automedicacion</t>
        </is>
      </c>
      <c r="BM1" s="22" t="inlineStr">
        <is>
          <t>p32_cuales_med</t>
        </is>
      </c>
      <c r="BN1" s="22" t="inlineStr">
        <is>
          <t>p33_diagnosticos</t>
        </is>
      </c>
      <c r="BO1" s="22" t="inlineStr">
        <is>
          <t>p33_otro</t>
        </is>
      </c>
      <c r="BP1" s="22" t="inlineStr">
        <is>
          <t>p34_actividad_fisica</t>
        </is>
      </c>
      <c r="BQ1" s="22" t="inlineStr">
        <is>
          <t>p35_energeticas</t>
        </is>
      </c>
      <c r="BR1" s="22" t="inlineStr">
        <is>
          <t>p35_otro</t>
        </is>
      </c>
      <c r="BS1" s="22" t="inlineStr">
        <is>
          <t>p36_coquea</t>
        </is>
      </c>
      <c r="BT1" s="22" t="inlineStr">
        <is>
          <t>p37_alcohol</t>
        </is>
      </c>
      <c r="BU1" s="22" t="inlineStr">
        <is>
          <t>p38_comunicacion</t>
        </is>
      </c>
      <c r="BV1" s="22" t="inlineStr">
        <is>
          <t>p39_comparte_trayectos</t>
        </is>
      </c>
      <c r="BW1" s="22" t="inlineStr">
        <is>
          <t>b_dbt_dx</t>
        </is>
      </c>
      <c r="BX1" s="22" t="inlineStr">
        <is>
          <t>b_sexo</t>
        </is>
      </c>
      <c r="BY1" s="22" t="inlineStr">
        <is>
          <t>b_peso_kg</t>
        </is>
      </c>
      <c r="BZ1" s="22" t="inlineStr">
        <is>
          <t>b_altura_m</t>
        </is>
      </c>
      <c r="CA1" s="22" t="inlineStr">
        <is>
          <t>b_imc</t>
        </is>
      </c>
      <c r="CB1" s="22" t="inlineStr">
        <is>
          <t>b_perimetro_cm</t>
        </is>
      </c>
      <c r="CC1" s="22" t="inlineStr">
        <is>
          <t>b_pas_mmhg</t>
        </is>
      </c>
      <c r="CD1" s="22" t="inlineStr">
        <is>
          <t>b_pad_mmhg</t>
        </is>
      </c>
      <c r="CE1" s="22" t="inlineStr">
        <is>
          <t>b_act_fisica</t>
        </is>
      </c>
      <c r="CF1" s="22" t="inlineStr">
        <is>
          <t>b_fyv_diario</t>
        </is>
      </c>
      <c r="CG1" s="22" t="inlineStr">
        <is>
          <t>b_hta_dx</t>
        </is>
      </c>
      <c r="CH1" s="22" t="inlineStr">
        <is>
          <t>b_med_antihta</t>
        </is>
      </c>
      <c r="CI1" s="22" t="inlineStr">
        <is>
          <t>b_glucosa_previa</t>
        </is>
      </c>
      <c r="CJ1" s="22" t="inlineStr">
        <is>
          <t>b_antec_fam_dbt</t>
        </is>
      </c>
      <c r="CK1" s="22" t="inlineStr">
        <is>
          <t>b_fuma</t>
        </is>
      </c>
      <c r="CL1" s="22" t="inlineStr">
        <is>
          <t>g_acepta</t>
        </is>
      </c>
      <c r="CM1" s="22" t="inlineStr">
        <is>
          <t>g_hora_ingesta</t>
        </is>
      </c>
      <c r="CN1" s="22" t="inlineStr">
        <is>
          <t>g_que_ingirio</t>
        </is>
      </c>
      <c r="CO1" s="22" t="inlineStr">
        <is>
          <t>g_hora_medicion</t>
        </is>
      </c>
      <c r="CP1" s="22" t="inlineStr">
        <is>
          <t>g_resultado_mgdl</t>
        </is>
      </c>
      <c r="CQ1" s="22" t="inlineStr">
        <is>
          <t>g_ayuno_min</t>
        </is>
      </c>
      <c r="CR1" s="22" t="inlineStr">
        <is>
          <t>fr_aplica</t>
        </is>
      </c>
      <c r="CS1" s="22" t="inlineStr">
        <is>
          <t>fr_puntos</t>
        </is>
      </c>
      <c r="CT1" s="22" t="inlineStr">
        <is>
          <t>fr_categoria</t>
        </is>
      </c>
      <c r="CU1" s="22" t="inlineStr">
        <is>
          <t>fr_probabilidad</t>
        </is>
      </c>
      <c r="CV1" s="22" t="inlineStr">
        <is>
          <t>fh_aplica</t>
        </is>
      </c>
      <c r="CW1" s="22" t="inlineStr">
        <is>
          <t>fh_puntos</t>
        </is>
      </c>
      <c r="CX1" s="22" t="inlineStr">
        <is>
          <t>fh_riesgo</t>
        </is>
      </c>
      <c r="CY1" s="22" t="inlineStr">
        <is>
          <t>fh_categoria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2" t="inlineStr">
        <is>
          <t>id</t>
        </is>
      </c>
      <c r="B1" s="22" t="inlineStr">
        <is>
          <t>participante_id</t>
        </is>
      </c>
      <c r="C1" s="22" t="inlineStr">
        <is>
          <t>codigo</t>
        </is>
      </c>
      <c r="D1" s="22" t="inlineStr">
        <is>
          <t>correo</t>
        </is>
      </c>
      <c r="E1" s="22" t="inlineStr">
        <is>
          <t>celular</t>
        </is>
      </c>
      <c r="F1" s="22" t="inlineStr">
        <is>
          <t>consentimiento</t>
        </is>
      </c>
      <c r="G1" s="22" t="inlineStr">
        <is>
          <t>comparte_app</t>
        </is>
      </c>
      <c r="H1" s="22" t="inlineStr">
        <is>
          <t>fecha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22" customWidth="1" min="3" max="3"/>
    <col width="50" customWidth="1" min="4" max="4"/>
    <col width="22" customWidth="1" min="5" max="5"/>
  </cols>
  <sheetData>
    <row r="1">
      <c r="A1" s="22" t="inlineStr">
        <is>
          <t>Variable</t>
        </is>
      </c>
      <c r="B1" s="22" t="inlineStr">
        <is>
          <t>Descripción o pregunta</t>
        </is>
      </c>
      <c r="C1" s="22" t="inlineStr">
        <is>
          <t>Sección</t>
        </is>
      </c>
      <c r="D1" s="22" t="inlineStr">
        <is>
          <t>Valores posibles</t>
        </is>
      </c>
      <c r="E1" s="22" t="inlineStr">
        <is>
          <t>Ejemplo</t>
        </is>
      </c>
    </row>
    <row r="2">
      <c r="A2" s="23" t="inlineStr">
        <is>
          <t>id</t>
        </is>
      </c>
      <c r="B2" s="3" t="inlineStr">
        <is>
          <t>Identificador único del relevamiento (generado por la app)</t>
        </is>
      </c>
      <c r="C2" s="23" t="inlineStr">
        <is>
          <t>Identificación</t>
        </is>
      </c>
      <c r="D2" s="3" t="inlineStr"/>
      <c r="E2" s="23" t="inlineStr">
        <is>
          <t>7f3c2a10-ejemplo</t>
        </is>
      </c>
    </row>
    <row r="3">
      <c r="A3" s="23" t="inlineStr">
        <is>
          <t>participante_id</t>
        </is>
      </c>
      <c r="B3" s="3" t="inlineStr">
        <is>
          <t>ID interno del participante (equipo, dispositivo y N° de orden)</t>
        </is>
      </c>
      <c r="C3" s="23" t="inlineStr">
        <is>
          <t>Identificación</t>
        </is>
      </c>
      <c r="D3" s="3" t="inlineStr"/>
      <c r="E3" s="23" t="inlineStr">
        <is>
          <t>A1-0010</t>
        </is>
      </c>
    </row>
    <row r="4">
      <c r="A4" s="23" t="inlineStr">
        <is>
          <t>codigo</t>
        </is>
      </c>
      <c r="B4" s="3" t="inlineStr">
        <is>
          <t>Código de identificación (orden-edad-código postal)</t>
        </is>
      </c>
      <c r="C4" s="23" t="inlineStr">
        <is>
          <t>Identificación</t>
        </is>
      </c>
      <c r="D4" s="3" t="inlineStr"/>
      <c r="E4" s="23" t="inlineStr">
        <is>
          <t>010-44-4600</t>
        </is>
      </c>
    </row>
    <row r="5">
      <c r="A5" s="23" t="inlineStr">
        <is>
          <t>orden</t>
        </is>
      </c>
      <c r="B5" s="3" t="inlineStr">
        <is>
          <t>Número de orden</t>
        </is>
      </c>
      <c r="C5" s="23" t="inlineStr">
        <is>
          <t>Identificación</t>
        </is>
      </c>
      <c r="D5" s="3" t="inlineStr"/>
      <c r="E5" s="23" t="n">
        <v>10</v>
      </c>
    </row>
    <row r="6">
      <c r="A6" s="23" t="inlineStr">
        <is>
          <t>edad</t>
        </is>
      </c>
      <c r="B6" s="3" t="inlineStr">
        <is>
          <t>Edad (años cumplidos)</t>
        </is>
      </c>
      <c r="C6" s="23" t="inlineStr">
        <is>
          <t>Identificación</t>
        </is>
      </c>
      <c r="D6" s="3" t="inlineStr"/>
      <c r="E6" s="23" t="n">
        <v>44</v>
      </c>
    </row>
    <row r="7">
      <c r="A7" s="23" t="inlineStr">
        <is>
          <t>cp</t>
        </is>
      </c>
      <c r="B7" s="3" t="inlineStr">
        <is>
          <t>Código postal</t>
        </is>
      </c>
      <c r="C7" s="23" t="inlineStr">
        <is>
          <t>Identificación</t>
        </is>
      </c>
      <c r="D7" s="3" t="inlineStr"/>
      <c r="E7" s="23" t="inlineStr">
        <is>
          <t>4600</t>
        </is>
      </c>
    </row>
    <row r="8">
      <c r="A8" s="23" t="inlineStr">
        <is>
          <t>fecha</t>
        </is>
      </c>
      <c r="B8" s="3" t="inlineStr">
        <is>
          <t>Fecha del relevamiento (AAAA-MM-DD)</t>
        </is>
      </c>
      <c r="C8" s="23" t="inlineStr">
        <is>
          <t>Identificación</t>
        </is>
      </c>
      <c r="D8" s="3" t="inlineStr"/>
      <c r="E8" s="23" t="inlineStr">
        <is>
          <t>2026-10-07</t>
        </is>
      </c>
    </row>
    <row r="9">
      <c r="A9" s="23" t="inlineStr">
        <is>
          <t>hora_inicio</t>
        </is>
      </c>
      <c r="B9" s="3" t="inlineStr">
        <is>
          <t>Hora de inicio</t>
        </is>
      </c>
      <c r="C9" s="23" t="inlineStr">
        <is>
          <t>Identificación</t>
        </is>
      </c>
      <c r="D9" s="3" t="inlineStr"/>
      <c r="E9" s="23" t="inlineStr">
        <is>
          <t>10:58</t>
        </is>
      </c>
    </row>
    <row r="10">
      <c r="A10" s="23" t="inlineStr">
        <is>
          <t>hora_fin</t>
        </is>
      </c>
      <c r="B10" s="3" t="inlineStr">
        <is>
          <t>Hora de cierre</t>
        </is>
      </c>
      <c r="C10" s="23" t="inlineStr">
        <is>
          <t>Identificación</t>
        </is>
      </c>
      <c r="D10" s="3" t="inlineStr"/>
      <c r="E10" s="23" t="inlineStr">
        <is>
          <t>11:30</t>
        </is>
      </c>
    </row>
    <row r="11">
      <c r="A11" s="23" t="inlineStr">
        <is>
          <t>equipo</t>
        </is>
      </c>
      <c r="B11" s="3" t="inlineStr">
        <is>
          <t>Equipo</t>
        </is>
      </c>
      <c r="C11" s="23" t="inlineStr">
        <is>
          <t>Identificación</t>
        </is>
      </c>
      <c r="D11" s="3" t="inlineStr"/>
      <c r="E11" s="23" t="inlineStr">
        <is>
          <t>A</t>
        </is>
      </c>
    </row>
    <row r="12">
      <c r="A12" s="23" t="inlineStr">
        <is>
          <t>dispositivo</t>
        </is>
      </c>
      <c r="B12" s="3" t="inlineStr">
        <is>
          <t>Dispositivo</t>
        </is>
      </c>
      <c r="C12" s="23" t="inlineStr">
        <is>
          <t>Identificación</t>
        </is>
      </c>
      <c r="D12" s="3" t="inlineStr"/>
      <c r="E12" s="23" t="inlineStr">
        <is>
          <t>1</t>
        </is>
      </c>
    </row>
    <row r="13">
      <c r="A13" s="23" t="inlineStr">
        <is>
          <t>encuestador</t>
        </is>
      </c>
      <c r="B13" s="3" t="inlineStr">
        <is>
          <t>Encuestador/a</t>
        </is>
      </c>
      <c r="C13" s="23" t="inlineStr">
        <is>
          <t>Identificación</t>
        </is>
      </c>
      <c r="D13" s="3" t="inlineStr"/>
      <c r="E13" s="23" t="inlineStr">
        <is>
          <t>MB</t>
        </is>
      </c>
    </row>
    <row r="14">
      <c r="A14" s="23" t="inlineStr">
        <is>
          <t>puesto</t>
        </is>
      </c>
      <c r="B14" s="3" t="inlineStr">
        <is>
          <t>Puesto o lugar de relevamiento</t>
        </is>
      </c>
      <c r="C14" s="23" t="inlineStr">
        <is>
          <t>Identificación</t>
        </is>
      </c>
      <c r="D14" s="3" t="inlineStr"/>
      <c r="E14" s="23" t="inlineStr">
        <is>
          <t>Puesto 1</t>
        </is>
      </c>
    </row>
    <row r="15">
      <c r="A15" s="23" t="inlineStr">
        <is>
          <t>consentimiento</t>
        </is>
      </c>
      <c r="B15" s="3" t="inlineStr">
        <is>
          <t>Consentimiento informado</t>
        </is>
      </c>
      <c r="C15" s="23" t="inlineStr">
        <is>
          <t>Identificación</t>
        </is>
      </c>
      <c r="D15" s="3" t="inlineStr"/>
      <c r="E15" s="23" t="inlineStr">
        <is>
          <t>Sí</t>
        </is>
      </c>
    </row>
    <row r="16">
      <c r="A16" s="23" t="inlineStr">
        <is>
          <t>comparte_app</t>
        </is>
      </c>
      <c r="B16" s="3" t="inlineStr">
        <is>
          <t>Acepta compartir con la app de camioneros</t>
        </is>
      </c>
      <c r="C16" s="23" t="inlineStr">
        <is>
          <t>Identificación</t>
        </is>
      </c>
      <c r="D16" s="3" t="inlineStr"/>
      <c r="E16" s="23" t="inlineStr">
        <is>
          <t>Sí</t>
        </is>
      </c>
    </row>
    <row r="17">
      <c r="A17" s="23" t="inlineStr">
        <is>
          <t>socio_respondidas</t>
        </is>
      </c>
      <c r="B17" s="3" t="inlineStr">
        <is>
          <t>Preguntas sociodemográficas respondidas</t>
        </is>
      </c>
      <c r="C17" s="23" t="inlineStr">
        <is>
          <t>Identificación</t>
        </is>
      </c>
      <c r="D17" s="3" t="inlineStr"/>
      <c r="E17" s="23" t="n">
        <v>6</v>
      </c>
    </row>
    <row r="18">
      <c r="A18" s="23" t="inlineStr">
        <is>
          <t>socio_completo</t>
        </is>
      </c>
      <c r="B18" s="3" t="inlineStr">
        <is>
          <t>Módulo sociodemográfico completo</t>
        </is>
      </c>
      <c r="C18" s="23" t="inlineStr">
        <is>
          <t>Identificación</t>
        </is>
      </c>
      <c r="D18" s="3" t="inlineStr"/>
      <c r="E18" s="23" t="inlineStr">
        <is>
          <t>No</t>
        </is>
      </c>
    </row>
    <row r="19">
      <c r="A19" s="23" t="inlineStr">
        <is>
          <t>bio_completo</t>
        </is>
      </c>
      <c r="B19" s="3" t="inlineStr">
        <is>
          <t>Módulo biológico completo</t>
        </is>
      </c>
      <c r="C19" s="23" t="inlineStr">
        <is>
          <t>Identificación</t>
        </is>
      </c>
      <c r="D19" s="3" t="inlineStr"/>
      <c r="E19" s="23" t="inlineStr">
        <is>
          <t>Sí</t>
        </is>
      </c>
    </row>
    <row r="20">
      <c r="A20" s="23" t="inlineStr">
        <is>
          <t>gluc_realizada</t>
        </is>
      </c>
      <c r="B20" s="3" t="inlineStr">
        <is>
          <t>Glucometría realizada</t>
        </is>
      </c>
      <c r="C20" s="23" t="inlineStr">
        <is>
          <t>Identificación</t>
        </is>
      </c>
      <c r="D20" s="3" t="inlineStr"/>
      <c r="E20" s="23" t="inlineStr">
        <is>
          <t>Sí</t>
        </is>
      </c>
    </row>
    <row r="21">
      <c r="A21" s="23" t="inlineStr">
        <is>
          <t>estado</t>
        </is>
      </c>
      <c r="B21" s="3" t="inlineStr">
        <is>
          <t>Estado del relevamiento</t>
        </is>
      </c>
      <c r="C21" s="23" t="inlineStr">
        <is>
          <t>Identificación</t>
        </is>
      </c>
      <c r="D21" s="3" t="inlineStr"/>
      <c r="E21" s="23" t="inlineStr">
        <is>
          <t>finalizado</t>
        </is>
      </c>
    </row>
    <row r="22">
      <c r="A22" s="23" t="inlineStr">
        <is>
          <t>version_instrumento</t>
        </is>
      </c>
      <c r="B22" s="3" t="inlineStr">
        <is>
          <t>Versión del instrumento</t>
        </is>
      </c>
      <c r="C22" s="23" t="inlineStr">
        <is>
          <t>Identificación</t>
        </is>
      </c>
      <c r="D22" s="3" t="inlineStr"/>
      <c r="E22" s="23" t="inlineStr">
        <is>
          <t>2026-10-v2</t>
        </is>
      </c>
    </row>
    <row r="23">
      <c r="A23" s="23" t="inlineStr">
        <is>
          <t>modificado</t>
        </is>
      </c>
      <c r="B23" s="3" t="inlineStr">
        <is>
          <t>Última modificación (fecha y hora)</t>
        </is>
      </c>
      <c r="C23" s="23" t="inlineStr">
        <is>
          <t>Identificación</t>
        </is>
      </c>
      <c r="D23" s="3" t="inlineStr"/>
      <c r="E23" s="23" t="inlineStr">
        <is>
          <t>2026-10-07T14:30:00.000Z</t>
        </is>
      </c>
    </row>
    <row r="24">
      <c r="A24" s="23" t="inlineStr">
        <is>
          <t>p01_nac_pais</t>
        </is>
      </c>
      <c r="B24" s="3" t="inlineStr">
        <is>
          <t>1. Lugar de nacimiento</t>
        </is>
      </c>
      <c r="C24" s="23" t="inlineStr">
        <is>
          <t>Origen y educación</t>
        </is>
      </c>
      <c r="D24" s="3" t="inlineStr">
        <is>
          <t>Argentina; Brasil; Chile; Paraguay; Otro país</t>
        </is>
      </c>
      <c r="E24" s="23" t="inlineStr">
        <is>
          <t>Argentina</t>
        </is>
      </c>
    </row>
    <row r="25">
      <c r="A25" s="23" t="inlineStr">
        <is>
          <t>p01_nac_detalle</t>
        </is>
      </c>
      <c r="B25" s="3" t="inlineStr">
        <is>
          <t>1. Provincia (si responde «Argentina»)</t>
        </is>
      </c>
      <c r="C25" s="23" t="inlineStr">
        <is>
          <t>Origen y educación</t>
        </is>
      </c>
      <c r="D25" s="3" t="inlineStr">
        <is>
          <t>Texto libre</t>
        </is>
      </c>
      <c r="E25" s="23" t="inlineStr">
        <is>
          <t>Jujuy</t>
        </is>
      </c>
    </row>
    <row r="26">
      <c r="A26" s="23" t="inlineStr">
        <is>
          <t>p02_educacion</t>
        </is>
      </c>
      <c r="B26" s="3" t="inlineStr">
        <is>
          <t>2. Máximo nivel educativo alcanzado</t>
        </is>
      </c>
      <c r="C26" s="23" t="inlineStr">
        <is>
          <t>Origen y educación</t>
        </is>
      </c>
      <c r="D26" s="3" t="inlineStr">
        <is>
          <t>Primaria completa; Secundaria incompleta; Secundaria completa; Terciario incompleto; Terciario completo; Universitario incompleto; Universitario completo</t>
        </is>
      </c>
      <c r="E26" s="23" t="inlineStr">
        <is>
          <t>Secundaria completa</t>
        </is>
      </c>
    </row>
    <row r="27">
      <c r="A27" s="23" t="inlineStr">
        <is>
          <t>p03_pareja</t>
        </is>
      </c>
      <c r="B27" s="3" t="inlineStr">
        <is>
          <t>3. ¿Está actualmente en pareja?</t>
        </is>
      </c>
      <c r="C27" s="23" t="inlineStr">
        <is>
          <t>Hogar</t>
        </is>
      </c>
      <c r="D27" s="3" t="inlineStr">
        <is>
          <t>Sí; No</t>
        </is>
      </c>
      <c r="E27" s="23" t="inlineStr"/>
    </row>
    <row r="28">
      <c r="A28" s="23" t="inlineStr">
        <is>
          <t>p04_convive</t>
        </is>
      </c>
      <c r="B28" s="3" t="inlineStr">
        <is>
          <t>4. Cantidad de personas con que convive</t>
        </is>
      </c>
      <c r="C28" s="23" t="inlineStr">
        <is>
          <t>Hogar</t>
        </is>
      </c>
      <c r="D28" s="3" t="inlineStr">
        <is>
          <t>Ninguna (vive solo); 1; 2; 3; 4; 5; Más de 5</t>
        </is>
      </c>
      <c r="E28" s="23" t="inlineStr"/>
    </row>
    <row r="29">
      <c r="A29" s="23" t="inlineStr">
        <is>
          <t>p05_a_cargo</t>
        </is>
      </c>
      <c r="B29" s="3" t="inlineStr">
        <is>
          <t>5. Cantidad de personas que tiene a cargo</t>
        </is>
      </c>
      <c r="C29" s="23" t="inlineStr">
        <is>
          <t>Hogar</t>
        </is>
      </c>
      <c r="D29" s="3" t="inlineStr">
        <is>
          <t>Ninguna; 1; 2; 3; 4; 5; Más de 5</t>
        </is>
      </c>
      <c r="E29" s="23" t="inlineStr"/>
    </row>
    <row r="30">
      <c r="A30" s="23" t="inlineStr">
        <is>
          <t>p06_idiomas_entiende</t>
        </is>
      </c>
      <c r="B30" s="3" t="inlineStr">
        <is>
          <t>6. ¿Qué idioma(s) entiende?</t>
        </is>
      </c>
      <c r="C30" s="23" t="inlineStr">
        <is>
          <t>Idiomas y licencia</t>
        </is>
      </c>
      <c r="D30" s="3" t="inlineStr">
        <is>
          <t>Español; Guaraní; Portugués; Inglés; Otro</t>
        </is>
      </c>
      <c r="E30" s="23" t="inlineStr">
        <is>
          <t>Español; Portugués</t>
        </is>
      </c>
    </row>
    <row r="31">
      <c r="A31" s="23" t="inlineStr">
        <is>
          <t>p06_otro</t>
        </is>
      </c>
      <c r="B31" s="3" t="inlineStr">
        <is>
          <t>6. Especificar (si responde «Otro»)</t>
        </is>
      </c>
      <c r="C31" s="23" t="inlineStr">
        <is>
          <t>Idiomas y licencia</t>
        </is>
      </c>
      <c r="D31" s="3" t="inlineStr">
        <is>
          <t>Texto libre</t>
        </is>
      </c>
      <c r="E31" s="23" t="inlineStr"/>
    </row>
    <row r="32">
      <c r="A32" s="23" t="inlineStr">
        <is>
          <t>p07_idiomas_habla</t>
        </is>
      </c>
      <c r="B32" s="3" t="inlineStr">
        <is>
          <t>7. ¿Qué idioma(s) habla?</t>
        </is>
      </c>
      <c r="C32" s="23" t="inlineStr">
        <is>
          <t>Idiomas y licencia</t>
        </is>
      </c>
      <c r="D32" s="3" t="inlineStr">
        <is>
          <t>Español; Guaraní; Portugués; Inglés; Otro</t>
        </is>
      </c>
      <c r="E32" s="23" t="inlineStr"/>
    </row>
    <row r="33">
      <c r="A33" s="23" t="inlineStr">
        <is>
          <t>p07_otro</t>
        </is>
      </c>
      <c r="B33" s="3" t="inlineStr">
        <is>
          <t>7. Especificar (si responde «Otro»)</t>
        </is>
      </c>
      <c r="C33" s="23" t="inlineStr">
        <is>
          <t>Idiomas y licencia</t>
        </is>
      </c>
      <c r="D33" s="3" t="inlineStr">
        <is>
          <t>Texto libre</t>
        </is>
      </c>
      <c r="E33" s="23" t="inlineStr"/>
    </row>
    <row r="34">
      <c r="A34" s="23" t="inlineStr">
        <is>
          <t>p08_licencia</t>
        </is>
      </c>
      <c r="B34" s="3" t="inlineStr">
        <is>
          <t>8. ¿En qué país obtuvo su licencia de conducir profesional?</t>
        </is>
      </c>
      <c r="C34" s="23" t="inlineStr">
        <is>
          <t>Idiomas y licencia</t>
        </is>
      </c>
      <c r="D34" s="3" t="inlineStr">
        <is>
          <t>Argentina; Brasil; Chile; Paraguay; Otro</t>
        </is>
      </c>
      <c r="E34" s="23" t="inlineStr"/>
    </row>
    <row r="35">
      <c r="A35" s="23" t="inlineStr">
        <is>
          <t>p08_lic_otro</t>
        </is>
      </c>
      <c r="B35" s="3" t="inlineStr">
        <is>
          <t>8. ¿En qué país? (si responde «Otro»)</t>
        </is>
      </c>
      <c r="C35" s="23" t="inlineStr">
        <is>
          <t>Idiomas y licencia</t>
        </is>
      </c>
      <c r="D35" s="3" t="inlineStr">
        <is>
          <t>Texto libre</t>
        </is>
      </c>
      <c r="E35" s="23" t="inlineStr"/>
    </row>
    <row r="36">
      <c r="A36" s="23" t="inlineStr">
        <is>
          <t>p09_rutas_jujuy</t>
        </is>
      </c>
      <c r="B36" s="3" t="inlineStr">
        <is>
          <t>9. ¿Cómo es el estado de las rutas que recorre en Jujuy?</t>
        </is>
      </c>
      <c r="C36" s="23" t="inlineStr">
        <is>
          <t>Trabajo y recorrido</t>
        </is>
      </c>
      <c r="D36" s="3" t="inlineStr">
        <is>
          <t>Muy bueno; Bueno; Regular; Malo; Muy malo</t>
        </is>
      </c>
      <c r="E36" s="23" t="inlineStr"/>
    </row>
    <row r="37">
      <c r="A37" s="23" t="inlineStr">
        <is>
          <t>p10_anios_chofer</t>
        </is>
      </c>
      <c r="B37" s="3" t="inlineStr">
        <is>
          <t>10. ¿Hace cuántos años trabaja como chofer de camión?</t>
        </is>
      </c>
      <c r="C37" s="23" t="inlineStr">
        <is>
          <t>Trabajo y recorrido</t>
        </is>
      </c>
      <c r="D37" s="3" t="inlineStr"/>
      <c r="E37" s="23" t="n">
        <v>18</v>
      </c>
    </row>
    <row r="38">
      <c r="A38" s="23" t="inlineStr">
        <is>
          <t>p11_recorrido</t>
        </is>
      </c>
      <c r="B38" s="3" t="inlineStr">
        <is>
          <t>11. ¿Qué recorrido está realizando ahora?</t>
        </is>
      </c>
      <c r="C38" s="23" t="inlineStr">
        <is>
          <t>Trabajo y recorrido</t>
        </is>
      </c>
      <c r="D38" s="3" t="inlineStr">
        <is>
          <t>Viaje provincial (Jujuy); Viaje interprovincial; Viaje internacional</t>
        </is>
      </c>
      <c r="E38" s="23" t="inlineStr">
        <is>
          <t>Viaje internacional</t>
        </is>
      </c>
    </row>
    <row r="39">
      <c r="A39" s="23" t="inlineStr">
        <is>
          <t>p12_frec_corredor</t>
        </is>
      </c>
      <c r="B39" s="3" t="inlineStr">
        <is>
          <t>12. ¿Con qué frecuencia realiza ese recorrido? — Otros tramos del corredor + Jujuy</t>
        </is>
      </c>
      <c r="C39" s="23" t="inlineStr">
        <is>
          <t>Trabajo y recorrido</t>
        </is>
      </c>
      <c r="D39" s="3" t="inlineStr">
        <is>
          <t>Diariamente; Una vez a la semana; 2 veces por semana; 3 veces por semana; Quincenalmente; Una vez al mes; Otro</t>
        </is>
      </c>
      <c r="E39" s="23" t="inlineStr"/>
    </row>
    <row r="40">
      <c r="A40" s="23" t="inlineStr">
        <is>
          <t>p12_frec_corredor_otro</t>
        </is>
      </c>
      <c r="B40" s="3" t="inlineStr">
        <is>
          <t>12. Especificar (si responde «Otro»)</t>
        </is>
      </c>
      <c r="C40" s="23" t="inlineStr">
        <is>
          <t>Trabajo y recorrido</t>
        </is>
      </c>
      <c r="D40" s="3" t="inlineStr">
        <is>
          <t>Texto libre</t>
        </is>
      </c>
      <c r="E40" s="23" t="inlineStr"/>
    </row>
    <row r="41">
      <c r="A41" s="23" t="inlineStr">
        <is>
          <t>p12_frec_jujuy</t>
        </is>
      </c>
      <c r="B41" s="3" t="inlineStr">
        <is>
          <t>12. ¿Con qué frecuencia realiza ese recorrido? — Tramo Jujuy</t>
        </is>
      </c>
      <c r="C41" s="23" t="inlineStr">
        <is>
          <t>Trabajo y recorrido</t>
        </is>
      </c>
      <c r="D41" s="3" t="inlineStr">
        <is>
          <t>Diariamente; Una vez a la semana; 2 veces por semana; 3 veces por semana; Quincenalmente; Una vez al mes; Otro</t>
        </is>
      </c>
      <c r="E41" s="23" t="inlineStr"/>
    </row>
    <row r="42">
      <c r="A42" s="23" t="inlineStr">
        <is>
          <t>p12_frec_jujuy_otro</t>
        </is>
      </c>
      <c r="B42" s="3" t="inlineStr">
        <is>
          <t>12. Especificar (si responde «Otro»)</t>
        </is>
      </c>
      <c r="C42" s="23" t="inlineStr">
        <is>
          <t>Trabajo y recorrido</t>
        </is>
      </c>
      <c r="D42" s="3" t="inlineStr">
        <is>
          <t>Texto libre</t>
        </is>
      </c>
      <c r="E42" s="23" t="inlineStr"/>
    </row>
    <row r="43">
      <c r="A43" s="23" t="inlineStr">
        <is>
          <t>p13_relacion_laboral</t>
        </is>
      </c>
      <c r="B43" s="3" t="inlineStr">
        <is>
          <t>13. ¿Cuál es su relación laboral actual?</t>
        </is>
      </c>
      <c r="C43" s="23" t="inlineStr">
        <is>
          <t>Trabajo y recorrido</t>
        </is>
      </c>
      <c r="D43" s="3" t="inlineStr">
        <is>
          <t>Empleado; Dueño del camión; Otro</t>
        </is>
      </c>
      <c r="E43" s="23" t="inlineStr"/>
    </row>
    <row r="44">
      <c r="A44" s="23" t="inlineStr">
        <is>
          <t>p13_otro</t>
        </is>
      </c>
      <c r="B44" s="3" t="inlineStr">
        <is>
          <t>13. Especificar (si responde «Otro»)</t>
        </is>
      </c>
      <c r="C44" s="23" t="inlineStr">
        <is>
          <t>Trabajo y recorrido</t>
        </is>
      </c>
      <c r="D44" s="3" t="inlineStr">
        <is>
          <t>Texto libre</t>
        </is>
      </c>
      <c r="E44" s="23" t="inlineStr"/>
    </row>
    <row r="45">
      <c r="A45" s="23" t="inlineStr">
        <is>
          <t>p14_conformidad</t>
        </is>
      </c>
      <c r="B45" s="3" t="inlineStr">
        <is>
          <t>14. ¿Cómo se siente con su situación laboral actual?</t>
        </is>
      </c>
      <c r="C45" s="23" t="inlineStr">
        <is>
          <t>Trabajo y recorrido</t>
        </is>
      </c>
      <c r="D45" s="3" t="inlineStr">
        <is>
          <t>Conforme; Parcialmente conforme; Disconforme</t>
        </is>
      </c>
      <c r="E45" s="23" t="inlineStr"/>
    </row>
    <row r="46">
      <c r="A46" s="23" t="inlineStr">
        <is>
          <t>p15_riesgo_salud</t>
        </is>
      </c>
      <c r="B46" s="3" t="inlineStr">
        <is>
          <t>15. ¿Cree que su trabajo representa un riesgo para su salud?</t>
        </is>
      </c>
      <c r="C46" s="23" t="inlineStr">
        <is>
          <t>Trabajo y recorrido</t>
        </is>
      </c>
      <c r="D46" s="3" t="inlineStr">
        <is>
          <t>Sí; No; Duda</t>
        </is>
      </c>
      <c r="E46" s="23" t="inlineStr"/>
    </row>
    <row r="47">
      <c r="A47" s="23" t="inlineStr">
        <is>
          <t>p16_horas_sin_parar</t>
        </is>
      </c>
      <c r="B47" s="3" t="inlineStr">
        <is>
          <t>16. Por lo general, ¿cuántas horas conduce sin hacer paradas?</t>
        </is>
      </c>
      <c r="C47" s="23" t="inlineStr">
        <is>
          <t>Trabajo y recorrido</t>
        </is>
      </c>
      <c r="D47" s="3" t="inlineStr"/>
      <c r="E47" s="23" t="n">
        <v>4.5</v>
      </c>
    </row>
    <row r="48">
      <c r="A48" s="23" t="inlineStr">
        <is>
          <t>p17_paradas</t>
        </is>
      </c>
      <c r="B48" s="3" t="inlineStr">
        <is>
          <t>17. ¿Realiza paradas durante su recorrido?</t>
        </is>
      </c>
      <c r="C48" s="23" t="inlineStr">
        <is>
          <t>Trabajo y recorrido</t>
        </is>
      </c>
      <c r="D48" s="3" t="inlineStr">
        <is>
          <t>Sí; No</t>
        </is>
      </c>
      <c r="E48" s="23" t="inlineStr"/>
    </row>
    <row r="49">
      <c r="A49" s="23" t="inlineStr">
        <is>
          <t>p18_donde_come</t>
        </is>
      </c>
      <c r="B49" s="3" t="inlineStr">
        <is>
          <t>18. ¿Dónde suele comer durante los viajes?</t>
        </is>
      </c>
      <c r="C49" s="23" t="inlineStr">
        <is>
          <t>Hábitos en ruta</t>
        </is>
      </c>
      <c r="D49" s="3" t="inlineStr">
        <is>
          <t>Paradores; En el camión al costado de la ruta; Estaciones de servicio; En casas de familiares o conocidos; Otro</t>
        </is>
      </c>
      <c r="E49" s="23" t="inlineStr"/>
    </row>
    <row r="50">
      <c r="A50" s="23" t="inlineStr">
        <is>
          <t>p18_otro</t>
        </is>
      </c>
      <c r="B50" s="3" t="inlineStr">
        <is>
          <t>18. Especificar (si responde «Otro»)</t>
        </is>
      </c>
      <c r="C50" s="23" t="inlineStr">
        <is>
          <t>Hábitos en ruta</t>
        </is>
      </c>
      <c r="D50" s="3" t="inlineStr">
        <is>
          <t>Texto libre</t>
        </is>
      </c>
      <c r="E50" s="23" t="inlineStr"/>
    </row>
    <row r="51">
      <c r="A51" s="23" t="inlineStr">
        <is>
          <t>p19_horas_sueno</t>
        </is>
      </c>
      <c r="B51" s="3" t="inlineStr">
        <is>
          <t>19. ¿Cuántas horas duerme por día?</t>
        </is>
      </c>
      <c r="C51" s="23" t="inlineStr">
        <is>
          <t>Hábitos en ruta</t>
        </is>
      </c>
      <c r="D51" s="3" t="inlineStr"/>
      <c r="E51" s="23" t="inlineStr"/>
    </row>
    <row r="52">
      <c r="A52" s="23" t="inlineStr">
        <is>
          <t>p20_frutas_verduras</t>
        </is>
      </c>
      <c r="B52" s="3" t="inlineStr">
        <is>
          <t>20. ¿Con qué frecuencia consume frutas y verduras mientras está en ruta?</t>
        </is>
      </c>
      <c r="C52" s="23" t="inlineStr">
        <is>
          <t>Hábitos en ruta</t>
        </is>
      </c>
      <c r="D52" s="3" t="inlineStr">
        <is>
          <t>Todos los días; Varias veces por semana; Casi nunca; Nunca</t>
        </is>
      </c>
      <c r="E52" s="23" t="inlineStr"/>
    </row>
    <row r="53">
      <c r="A53" s="23" t="inlineStr">
        <is>
          <t>p21_bebidas</t>
        </is>
      </c>
      <c r="B53" s="3" t="inlineStr">
        <is>
          <t>21. ¿Qué bebidas consume durante sus viajes?</t>
        </is>
      </c>
      <c r="C53" s="23" t="inlineStr">
        <is>
          <t>Hábitos en ruta</t>
        </is>
      </c>
      <c r="D53" s="3" t="inlineStr">
        <is>
          <t>Agua; Jugos artificiales; Jugos naturales; Gaseosas; Café; Té; Mate; Otro</t>
        </is>
      </c>
      <c r="E53" s="23" t="inlineStr"/>
    </row>
    <row r="54">
      <c r="A54" s="23" t="inlineStr">
        <is>
          <t>p21_otro</t>
        </is>
      </c>
      <c r="B54" s="3" t="inlineStr">
        <is>
          <t>21. Especificar (si responde «Otro»)</t>
        </is>
      </c>
      <c r="C54" s="23" t="inlineStr">
        <is>
          <t>Hábitos en ruta</t>
        </is>
      </c>
      <c r="D54" s="3" t="inlineStr">
        <is>
          <t>Texto libre</t>
        </is>
      </c>
      <c r="E54" s="23" t="inlineStr"/>
    </row>
    <row r="55">
      <c r="A55" s="23" t="inlineStr">
        <is>
          <t>p22_sanitarios</t>
        </is>
      </c>
      <c r="B55" s="3" t="inlineStr">
        <is>
          <t>22. ¿Suele tener acceso a sanitarios en sus recorridos?</t>
        </is>
      </c>
      <c r="C55" s="23" t="inlineStr">
        <is>
          <t>Hábitos en ruta</t>
        </is>
      </c>
      <c r="D55" s="3" t="inlineStr">
        <is>
          <t>Sí, siempre; A veces; Casi nunca; Nunca</t>
        </is>
      </c>
      <c r="E55" s="23" t="inlineStr"/>
    </row>
    <row r="56">
      <c r="A56" s="23" t="inlineStr">
        <is>
          <t>p23_recreativas</t>
        </is>
      </c>
      <c r="B56" s="3" t="inlineStr">
        <is>
          <t>23. ¿Dedica tiempo al mes a actividades recreativas (cine, paseos, deporte, etc.)?</t>
        </is>
      </c>
      <c r="C56" s="23" t="inlineStr">
        <is>
          <t>Hábitos en ruta</t>
        </is>
      </c>
      <c r="D56" s="3" t="inlineStr">
        <is>
          <t>Sí; Algunas veces; Rara vez; No</t>
        </is>
      </c>
      <c r="E56" s="23" t="inlineStr"/>
    </row>
    <row r="57">
      <c r="A57" s="23" t="inlineStr">
        <is>
          <t>p24_siniestro</t>
        </is>
      </c>
      <c r="B57" s="3" t="inlineStr">
        <is>
          <t>24. ¿Ha tenido algún siniestro vial en el último año?</t>
        </is>
      </c>
      <c r="C57" s="23" t="inlineStr">
        <is>
          <t>Economía y salud</t>
        </is>
      </c>
      <c r="D57" s="3" t="inlineStr">
        <is>
          <t>Sí; No</t>
        </is>
      </c>
      <c r="E57" s="23" t="inlineStr"/>
    </row>
    <row r="58">
      <c r="A58" s="23" t="inlineStr">
        <is>
          <t>p25_fin_de_mes</t>
        </is>
      </c>
      <c r="B58" s="3" t="inlineStr">
        <is>
          <t>25. Con lo que gana, ¿llega a fin de mes?</t>
        </is>
      </c>
      <c r="C58" s="23" t="inlineStr">
        <is>
          <t>Economía y salud</t>
        </is>
      </c>
      <c r="D58" s="3" t="inlineStr">
        <is>
          <t>Sí; Parcialmente; No</t>
        </is>
      </c>
      <c r="E58" s="23" t="inlineStr"/>
    </row>
    <row r="59">
      <c r="A59" s="23" t="inlineStr">
        <is>
          <t>p26_cobertura</t>
        </is>
      </c>
      <c r="B59" s="3" t="inlineStr">
        <is>
          <t>26. ¿Tiene cobertura médica?</t>
        </is>
      </c>
      <c r="C59" s="23" t="inlineStr">
        <is>
          <t>Economía y salud</t>
        </is>
      </c>
      <c r="D59" s="3" t="inlineStr">
        <is>
          <t>Obra social; Prepaga; Seguro de salud; Ninguna</t>
        </is>
      </c>
      <c r="E59" s="23" t="inlineStr"/>
    </row>
    <row r="60">
      <c r="A60" s="23" t="inlineStr">
        <is>
          <t>p27_control_medico</t>
        </is>
      </c>
      <c r="B60" s="3" t="inlineStr">
        <is>
          <t>27. ¿Dónde recurre para control médico?</t>
        </is>
      </c>
      <c r="C60" s="23" t="inlineStr">
        <is>
          <t>Economía y salud</t>
        </is>
      </c>
      <c r="D60" s="3" t="inlineStr">
        <is>
          <t>Sistema público; Sistema privado; Ninguno</t>
        </is>
      </c>
      <c r="E60" s="23" t="inlineStr"/>
    </row>
    <row r="61">
      <c r="A61" s="23" t="inlineStr">
        <is>
          <t>p28_frec_consulta</t>
        </is>
      </c>
      <c r="B61" s="3" t="inlineStr">
        <is>
          <t>28. ¿Con qué frecuencia consulta al médico, aunque no presente síntomas?</t>
        </is>
      </c>
      <c r="C61" s="23" t="inlineStr">
        <is>
          <t>Economía y salud</t>
        </is>
      </c>
      <c r="D61" s="3" t="inlineStr">
        <is>
          <t>Una vez al mes; 2 veces al año; Una vez al año; Solo cuando me siento mal; Nunca</t>
        </is>
      </c>
      <c r="E61" s="23" t="inlineStr"/>
    </row>
    <row r="62">
      <c r="A62" s="23" t="inlineStr">
        <is>
          <t>p29_atencion_dolencias</t>
        </is>
      </c>
      <c r="B62" s="3" t="inlineStr">
        <is>
          <t>29. ¿Dónde recurre para atención de dolencias, malestar o síntomas?</t>
        </is>
      </c>
      <c r="C62" s="23" t="inlineStr">
        <is>
          <t>Economía y salud</t>
        </is>
      </c>
      <c r="D62" s="3" t="inlineStr">
        <is>
          <t>Sistema público; Sistema privado; Otros (medicina tradicional, alternativa, etc.); Ninguno</t>
        </is>
      </c>
      <c r="E62" s="23" t="inlineStr"/>
    </row>
    <row r="63">
      <c r="A63" s="23" t="inlineStr">
        <is>
          <t>p30_dolores</t>
        </is>
      </c>
      <c r="B63" s="3" t="inlineStr">
        <is>
          <t>30. ¿Tiene dolores frecuentes en alguna parte del cuerpo?</t>
        </is>
      </c>
      <c r="C63" s="23" t="inlineStr">
        <is>
          <t>Economía y salud</t>
        </is>
      </c>
      <c r="D63" s="3" t="inlineStr">
        <is>
          <t>Sí; No</t>
        </is>
      </c>
      <c r="E63" s="23" t="inlineStr"/>
    </row>
    <row r="64">
      <c r="A64" s="23" t="inlineStr">
        <is>
          <t>p30_cuales</t>
        </is>
      </c>
      <c r="B64" s="3" t="inlineStr">
        <is>
          <t>30. ¿Qué dolores corporales presenta? (si responde «Sí»)</t>
        </is>
      </c>
      <c r="C64" s="23" t="inlineStr">
        <is>
          <t>Economía y salud</t>
        </is>
      </c>
      <c r="D64" s="3" t="inlineStr">
        <is>
          <t>Texto libre</t>
        </is>
      </c>
      <c r="E64" s="23" t="inlineStr"/>
    </row>
    <row r="65">
      <c r="A65" s="23" t="inlineStr">
        <is>
          <t>p31_automedicacion</t>
        </is>
      </c>
      <c r="B65" s="3" t="inlineStr">
        <is>
          <t>31. Sin indicación médica, suele tomar:</t>
        </is>
      </c>
      <c r="C65" s="23" t="inlineStr">
        <is>
          <t>Economía y salud</t>
        </is>
      </c>
      <c r="D65" s="3" t="inlineStr">
        <is>
          <t>Medicamentos; Hierbas; Ninguno</t>
        </is>
      </c>
      <c r="E65" s="23" t="inlineStr"/>
    </row>
    <row r="66">
      <c r="A66" s="23" t="inlineStr">
        <is>
          <t>p32_cuales_med</t>
        </is>
      </c>
      <c r="B66" s="3" t="inlineStr">
        <is>
          <t>32. ¿Qué medicamentos o hierbas toma?</t>
        </is>
      </c>
      <c r="C66" s="23" t="inlineStr">
        <is>
          <t>Economía y salud</t>
        </is>
      </c>
      <c r="D66" s="3" t="inlineStr">
        <is>
          <t>Texto libre</t>
        </is>
      </c>
      <c r="E66" s="23" t="inlineStr"/>
    </row>
    <row r="67">
      <c r="A67" s="23" t="inlineStr">
        <is>
          <t>p33_diagnosticos</t>
        </is>
      </c>
      <c r="B67" s="3" t="inlineStr">
        <is>
          <t>33. Actualmente, ¿ha sido diagnosticado con alguna enfermedad?</t>
        </is>
      </c>
      <c r="C67" s="23" t="inlineStr">
        <is>
          <t>Economía y salud</t>
        </is>
      </c>
      <c r="D67" s="3" t="inlineStr">
        <is>
          <t>No tengo diagnóstico de enfermedad; Musculoesqueléticos; Renal; Ocular; Digestivas; Auditivo; Respiratorias; Obesidad; Osteoarticular; VIH/SIDA; Otros</t>
        </is>
      </c>
      <c r="E67" s="23" t="inlineStr"/>
    </row>
    <row r="68">
      <c r="A68" s="23" t="inlineStr">
        <is>
          <t>p33_otro</t>
        </is>
      </c>
      <c r="B68" s="3" t="inlineStr">
        <is>
          <t>33. Especificar (si responde «Otros»)</t>
        </is>
      </c>
      <c r="C68" s="23" t="inlineStr">
        <is>
          <t>Economía y salud</t>
        </is>
      </c>
      <c r="D68" s="3" t="inlineStr">
        <is>
          <t>Texto libre</t>
        </is>
      </c>
      <c r="E68" s="23" t="inlineStr"/>
    </row>
    <row r="69">
      <c r="A69" s="23" t="inlineStr">
        <is>
          <t>p34_actividad_fisica</t>
        </is>
      </c>
      <c r="B69" s="3" t="inlineStr">
        <is>
          <t>34. ¿Con qué frecuencia realiza actividad física fuera del trabajo?</t>
        </is>
      </c>
      <c r="C69" s="23" t="inlineStr">
        <is>
          <t>Consumos y vínculos</t>
        </is>
      </c>
      <c r="D69" s="3" t="inlineStr">
        <is>
          <t>Varias veces a la semana (4 o más); 2 a 3 veces por semana; Una vez a la semana; Rara vez; Nunca</t>
        </is>
      </c>
      <c r="E69" s="23" t="inlineStr"/>
    </row>
    <row r="70">
      <c r="A70" s="23" t="inlineStr">
        <is>
          <t>p35_energeticas</t>
        </is>
      </c>
      <c r="B70" s="3" t="inlineStr">
        <is>
          <t>35. ¿Consume bebidas energéticas durante sus viajes?</t>
        </is>
      </c>
      <c r="C70" s="23" t="inlineStr">
        <is>
          <t>Consumos y vínculos</t>
        </is>
      </c>
      <c r="D70" s="3" t="inlineStr">
        <is>
          <t>No; Café; Coca-Cola; Pepsi-Cola; Yerba mate; Energizantes (Speed, Monster, Red Bull, etc.); Otro</t>
        </is>
      </c>
      <c r="E70" s="23" t="inlineStr"/>
    </row>
    <row r="71">
      <c r="A71" s="23" t="inlineStr">
        <is>
          <t>p35_otro</t>
        </is>
      </c>
      <c r="B71" s="3" t="inlineStr">
        <is>
          <t>35. Especificar (si responde «Otro»)</t>
        </is>
      </c>
      <c r="C71" s="23" t="inlineStr">
        <is>
          <t>Consumos y vínculos</t>
        </is>
      </c>
      <c r="D71" s="3" t="inlineStr">
        <is>
          <t>Texto libre</t>
        </is>
      </c>
      <c r="E71" s="23" t="inlineStr"/>
    </row>
    <row r="72">
      <c r="A72" s="23" t="inlineStr">
        <is>
          <t>p36_coquea</t>
        </is>
      </c>
      <c r="B72" s="3" t="inlineStr">
        <is>
          <t>36. ¿Usted coquea?</t>
        </is>
      </c>
      <c r="C72" s="23" t="inlineStr">
        <is>
          <t>Consumos y vínculos</t>
        </is>
      </c>
      <c r="D72" s="3" t="inlineStr">
        <is>
          <t>Sí; No</t>
        </is>
      </c>
      <c r="E72" s="23" t="inlineStr"/>
    </row>
    <row r="73">
      <c r="A73" s="23" t="inlineStr">
        <is>
          <t>p37_alcohol</t>
        </is>
      </c>
      <c r="B73" s="3" t="inlineStr">
        <is>
          <t>37. ¿Consume bebidas alcohólicas? (en horario NO laboral)</t>
        </is>
      </c>
      <c r="C73" s="23" t="inlineStr">
        <is>
          <t>Consumos y vínculos</t>
        </is>
      </c>
      <c r="D73" s="3" t="inlineStr">
        <is>
          <t>Sí; No</t>
        </is>
      </c>
      <c r="E73" s="23" t="inlineStr"/>
    </row>
    <row r="74">
      <c r="A74" s="23" t="inlineStr">
        <is>
          <t>p38_comunicacion</t>
        </is>
      </c>
      <c r="B74" s="3" t="inlineStr">
        <is>
          <t>38. ¿Con qué frecuencia se comunica con colegas durante sus viajes?</t>
        </is>
      </c>
      <c r="C74" s="23" t="inlineStr">
        <is>
          <t>Consumos y vínculos</t>
        </is>
      </c>
      <c r="D74" s="3" t="inlineStr">
        <is>
          <t>Siempre; A veces; Nunca</t>
        </is>
      </c>
      <c r="E74" s="23" t="inlineStr"/>
    </row>
    <row r="75">
      <c r="A75" s="23" t="inlineStr">
        <is>
          <t>p39_comparte_trayectos</t>
        </is>
      </c>
      <c r="B75" s="3" t="inlineStr">
        <is>
          <t>39. ¿Suele compartir trayectos con otros choferes?</t>
        </is>
      </c>
      <c r="C75" s="23" t="inlineStr">
        <is>
          <t>Consumos y vínculos</t>
        </is>
      </c>
      <c r="D75" s="3" t="inlineStr">
        <is>
          <t>Sí; No</t>
        </is>
      </c>
      <c r="E75" s="23" t="inlineStr"/>
    </row>
    <row r="76">
      <c r="A76" s="23" t="inlineStr">
        <is>
          <t>b_dbt_dx</t>
        </is>
      </c>
      <c r="B76" s="3" t="inlineStr">
        <is>
          <t>¿Tiene diagnóstico de diabetes?</t>
        </is>
      </c>
      <c r="C76" s="23" t="inlineStr">
        <is>
          <t>Biológica</t>
        </is>
      </c>
      <c r="D76" s="3" t="inlineStr">
        <is>
          <t>Sí; No</t>
        </is>
      </c>
      <c r="E76" s="23" t="inlineStr">
        <is>
          <t>No</t>
        </is>
      </c>
    </row>
    <row r="77">
      <c r="A77" s="23" t="inlineStr">
        <is>
          <t>b_sexo</t>
        </is>
      </c>
      <c r="B77" s="3" t="inlineStr">
        <is>
          <t>Sexo</t>
        </is>
      </c>
      <c r="C77" s="23" t="inlineStr">
        <is>
          <t>Biológica</t>
        </is>
      </c>
      <c r="D77" s="3" t="inlineStr">
        <is>
          <t>Mujer; Varón; Otro</t>
        </is>
      </c>
      <c r="E77" s="23" t="inlineStr">
        <is>
          <t>Varón</t>
        </is>
      </c>
    </row>
    <row r="78">
      <c r="A78" s="23" t="inlineStr">
        <is>
          <t>b_peso_kg</t>
        </is>
      </c>
      <c r="B78" s="3" t="inlineStr">
        <is>
          <t>Peso (kg)</t>
        </is>
      </c>
      <c r="C78" s="23" t="inlineStr">
        <is>
          <t>Biológica</t>
        </is>
      </c>
      <c r="D78" s="3" t="inlineStr"/>
      <c r="E78" s="23" t="n">
        <v>86.40000000000001</v>
      </c>
    </row>
    <row r="79">
      <c r="A79" s="23" t="inlineStr">
        <is>
          <t>b_altura_m</t>
        </is>
      </c>
      <c r="B79" s="3" t="inlineStr">
        <is>
          <t>Altura (m)</t>
        </is>
      </c>
      <c r="C79" s="23" t="inlineStr">
        <is>
          <t>Biológica</t>
        </is>
      </c>
      <c r="D79" s="3" t="inlineStr"/>
      <c r="E79" s="23" t="n">
        <v>1.72</v>
      </c>
    </row>
    <row r="80">
      <c r="A80" s="23" t="inlineStr">
        <is>
          <t>b_imc</t>
        </is>
      </c>
      <c r="B80" s="3" t="inlineStr">
        <is>
          <t>IMC (calculado)</t>
        </is>
      </c>
      <c r="C80" s="23" t="inlineStr">
        <is>
          <t>Biológica</t>
        </is>
      </c>
      <c r="D80" s="3" t="inlineStr"/>
      <c r="E80" s="23" t="n">
        <v>29.2</v>
      </c>
    </row>
    <row r="81">
      <c r="A81" s="23" t="inlineStr">
        <is>
          <t>b_perimetro_cm</t>
        </is>
      </c>
      <c r="B81" s="3" t="inlineStr">
        <is>
          <t>Perímetro abdominal (cm)</t>
        </is>
      </c>
      <c r="C81" s="23" t="inlineStr">
        <is>
          <t>Biológica</t>
        </is>
      </c>
      <c r="D81" s="3" t="inlineStr"/>
      <c r="E81" s="23" t="n">
        <v>101</v>
      </c>
    </row>
    <row r="82">
      <c r="A82" s="23" t="inlineStr">
        <is>
          <t>b_pas_mmhg</t>
        </is>
      </c>
      <c r="B82" s="3" t="inlineStr">
        <is>
          <t>Presión arterial sistólica (mmHg)</t>
        </is>
      </c>
      <c r="C82" s="23" t="inlineStr">
        <is>
          <t>Biológica</t>
        </is>
      </c>
      <c r="D82" s="3" t="inlineStr"/>
      <c r="E82" s="23" t="n">
        <v>138</v>
      </c>
    </row>
    <row r="83">
      <c r="A83" s="23" t="inlineStr">
        <is>
          <t>b_pad_mmhg</t>
        </is>
      </c>
      <c r="B83" s="3" t="inlineStr">
        <is>
          <t>Presión arterial diastólica (mmHg)</t>
        </is>
      </c>
      <c r="C83" s="23" t="inlineStr">
        <is>
          <t>Biológica</t>
        </is>
      </c>
      <c r="D83" s="3" t="inlineStr"/>
      <c r="E83" s="23" t="n">
        <v>88</v>
      </c>
    </row>
    <row r="84">
      <c r="A84" s="23" t="inlineStr">
        <is>
          <t>b_act_fisica</t>
        </is>
      </c>
      <c r="B84" s="3" t="inlineStr">
        <is>
          <t>¿Hace actividad física regularmente? (al menos 30 min por día)</t>
        </is>
      </c>
      <c r="C84" s="23" t="inlineStr">
        <is>
          <t>Biológica</t>
        </is>
      </c>
      <c r="D84" s="3" t="inlineStr">
        <is>
          <t>Sí; No</t>
        </is>
      </c>
      <c r="E84" s="23" t="inlineStr">
        <is>
          <t>No</t>
        </is>
      </c>
    </row>
    <row r="85">
      <c r="A85" s="23" t="inlineStr">
        <is>
          <t>b_fyv_diario</t>
        </is>
      </c>
      <c r="B85" s="3" t="inlineStr">
        <is>
          <t>¿Consume frutas o verduras todos los días?</t>
        </is>
      </c>
      <c r="C85" s="23" t="inlineStr">
        <is>
          <t>Biológica</t>
        </is>
      </c>
      <c r="D85" s="3" t="inlineStr">
        <is>
          <t>Sí; No</t>
        </is>
      </c>
      <c r="E85" s="23" t="inlineStr">
        <is>
          <t>No</t>
        </is>
      </c>
    </row>
    <row r="86">
      <c r="A86" s="23" t="inlineStr">
        <is>
          <t>b_hta_dx</t>
        </is>
      </c>
      <c r="B86" s="3" t="inlineStr">
        <is>
          <t>¿Tiene diagnóstico de hipertensión?</t>
        </is>
      </c>
      <c r="C86" s="23" t="inlineStr">
        <is>
          <t>Biológica</t>
        </is>
      </c>
      <c r="D86" s="3" t="inlineStr">
        <is>
          <t>Sí; No</t>
        </is>
      </c>
      <c r="E86" s="23" t="inlineStr">
        <is>
          <t>No</t>
        </is>
      </c>
    </row>
    <row r="87">
      <c r="A87" s="23" t="inlineStr">
        <is>
          <t>b_med_antihta</t>
        </is>
      </c>
      <c r="B87" s="3" t="inlineStr">
        <is>
          <t>¿Toma medicación antihipertensiva?</t>
        </is>
      </c>
      <c r="C87" s="23" t="inlineStr">
        <is>
          <t>Biológica</t>
        </is>
      </c>
      <c r="D87" s="3" t="inlineStr">
        <is>
          <t>Sí; No</t>
        </is>
      </c>
      <c r="E87" s="23" t="inlineStr">
        <is>
          <t>No</t>
        </is>
      </c>
    </row>
    <row r="88">
      <c r="A88" s="23" t="inlineStr">
        <is>
          <t>b_glucosa_previa</t>
        </is>
      </c>
      <c r="B88" s="3" t="inlineStr">
        <is>
          <t>¿Tuvo glucosa elevada en sangre alguna vez?</t>
        </is>
      </c>
      <c r="C88" s="23" t="inlineStr">
        <is>
          <t>Biológica</t>
        </is>
      </c>
      <c r="D88" s="3" t="inlineStr">
        <is>
          <t>Sí; No</t>
        </is>
      </c>
      <c r="E88" s="23" t="inlineStr">
        <is>
          <t>No</t>
        </is>
      </c>
    </row>
    <row r="89">
      <c r="A89" s="23" t="inlineStr">
        <is>
          <t>b_antec_fam_dbt</t>
        </is>
      </c>
      <c r="B89" s="3" t="inlineStr">
        <is>
          <t>Antecedentes familiares de diabetes</t>
        </is>
      </c>
      <c r="C89" s="23" t="inlineStr">
        <is>
          <t>Biológica</t>
        </is>
      </c>
      <c r="D89" s="3" t="inlineStr">
        <is>
          <t>No; Sí, parientes lejanos; Sí, primer grado</t>
        </is>
      </c>
      <c r="E89" s="23" t="inlineStr">
        <is>
          <t>Sí, primer grado</t>
        </is>
      </c>
    </row>
    <row r="90">
      <c r="A90" s="23" t="inlineStr">
        <is>
          <t>b_fuma</t>
        </is>
      </c>
      <c r="B90" s="3" t="inlineStr">
        <is>
          <t>¿Fuma tabaco?</t>
        </is>
      </c>
      <c r="C90" s="23" t="inlineStr">
        <is>
          <t>Biológica</t>
        </is>
      </c>
      <c r="D90" s="3" t="inlineStr">
        <is>
          <t>Sí; No</t>
        </is>
      </c>
      <c r="E90" s="23" t="inlineStr">
        <is>
          <t>Sí</t>
        </is>
      </c>
    </row>
    <row r="91">
      <c r="A91" s="23" t="inlineStr">
        <is>
          <t>g_acepta</t>
        </is>
      </c>
      <c r="B91" s="3" t="inlineStr">
        <is>
          <t>¿Acepta evaluarse el nivel de azúcar en sangre?</t>
        </is>
      </c>
      <c r="C91" s="23" t="inlineStr">
        <is>
          <t>Biológica</t>
        </is>
      </c>
      <c r="D91" s="3" t="inlineStr">
        <is>
          <t>Sí; No</t>
        </is>
      </c>
      <c r="E91" s="23" t="inlineStr">
        <is>
          <t>Sí</t>
        </is>
      </c>
    </row>
    <row r="92">
      <c r="A92" s="23" t="inlineStr">
        <is>
          <t>g_hora_ingesta</t>
        </is>
      </c>
      <c r="B92" s="3" t="inlineStr">
        <is>
          <t>Hora de la última ingesta (líquido o sólido)</t>
        </is>
      </c>
      <c r="C92" s="23" t="inlineStr">
        <is>
          <t>Biológica</t>
        </is>
      </c>
      <c r="D92" s="3" t="inlineStr"/>
      <c r="E92" s="23" t="inlineStr">
        <is>
          <t>08:15</t>
        </is>
      </c>
    </row>
    <row r="93">
      <c r="A93" s="23" t="inlineStr">
        <is>
          <t>g_que_ingirio</t>
        </is>
      </c>
      <c r="B93" s="3" t="inlineStr">
        <is>
          <t>¿Qué comió o bebió?</t>
        </is>
      </c>
      <c r="C93" s="23" t="inlineStr">
        <is>
          <t>Biológica</t>
        </is>
      </c>
      <c r="D93" s="3" t="inlineStr"/>
      <c r="E93" s="23" t="inlineStr">
        <is>
          <t>Mate y pan</t>
        </is>
      </c>
    </row>
    <row r="94">
      <c r="A94" s="23" t="inlineStr">
        <is>
          <t>g_hora_medicion</t>
        </is>
      </c>
      <c r="B94" s="3" t="inlineStr">
        <is>
          <t>Hora de la medición</t>
        </is>
      </c>
      <c r="C94" s="23" t="inlineStr">
        <is>
          <t>Biológica</t>
        </is>
      </c>
      <c r="D94" s="3" t="inlineStr"/>
      <c r="E94" s="23" t="inlineStr">
        <is>
          <t>11:20</t>
        </is>
      </c>
    </row>
    <row r="95">
      <c r="A95" s="23" t="inlineStr">
        <is>
          <t>g_resultado_mgdl</t>
        </is>
      </c>
      <c r="B95" s="3" t="inlineStr">
        <is>
          <t>Resultado de glucometría periférica (mg/dL)</t>
        </is>
      </c>
      <c r="C95" s="23" t="inlineStr">
        <is>
          <t>Biológica</t>
        </is>
      </c>
      <c r="D95" s="3" t="inlineStr"/>
      <c r="E95" s="23" t="n">
        <v>112</v>
      </c>
    </row>
    <row r="96">
      <c r="A96" s="23" t="inlineStr">
        <is>
          <t>g_ayuno_min</t>
        </is>
      </c>
      <c r="B96" s="3" t="inlineStr">
        <is>
          <t>Minutos de ayuno (calculado)</t>
        </is>
      </c>
      <c r="C96" s="23" t="inlineStr">
        <is>
          <t>Calculados</t>
        </is>
      </c>
      <c r="D96" s="3" t="inlineStr"/>
      <c r="E96" s="23" t="n">
        <v>185</v>
      </c>
    </row>
    <row r="97">
      <c r="A97" s="23" t="inlineStr">
        <is>
          <t>fr_aplica</t>
        </is>
      </c>
      <c r="B97" s="3" t="inlineStr">
        <is>
          <t>FINDRISK: ¿corresponde aplicarlo?</t>
        </is>
      </c>
      <c r="C97" s="23" t="inlineStr">
        <is>
          <t>Calculados</t>
        </is>
      </c>
      <c r="D97" s="3" t="inlineStr"/>
      <c r="E97" s="23" t="inlineStr">
        <is>
          <t>Sí</t>
        </is>
      </c>
    </row>
    <row r="98">
      <c r="A98" s="23" t="inlineStr">
        <is>
          <t>fr_puntos</t>
        </is>
      </c>
      <c r="B98" s="3" t="inlineStr">
        <is>
          <t>FINDRISK: puntaje total</t>
        </is>
      </c>
      <c r="C98" s="23" t="inlineStr">
        <is>
          <t>Calculados</t>
        </is>
      </c>
      <c r="D98" s="3" t="inlineStr"/>
      <c r="E98" s="23" t="n">
        <v>12</v>
      </c>
    </row>
    <row r="99">
      <c r="A99" s="23" t="inlineStr">
        <is>
          <t>fr_categoria</t>
        </is>
      </c>
      <c r="B99" s="3" t="inlineStr">
        <is>
          <t>FINDRISK: nivel de riesgo</t>
        </is>
      </c>
      <c r="C99" s="23" t="inlineStr">
        <is>
          <t>Calculados</t>
        </is>
      </c>
      <c r="D99" s="3" t="inlineStr">
        <is>
          <t>Bajo; Ligeramente elevado; Moderado; Alto; Muy alto</t>
        </is>
      </c>
      <c r="E99" s="23" t="inlineStr">
        <is>
          <t>Moderado</t>
        </is>
      </c>
    </row>
    <row r="100">
      <c r="A100" s="23" t="inlineStr">
        <is>
          <t>fr_probabilidad</t>
        </is>
      </c>
      <c r="B100" s="3" t="inlineStr">
        <is>
          <t>FINDRISK: probabilidad de diabetes a 10 años</t>
        </is>
      </c>
      <c r="C100" s="23" t="inlineStr">
        <is>
          <t>Calculados</t>
        </is>
      </c>
      <c r="D100" s="3" t="inlineStr"/>
      <c r="E100" s="23" t="inlineStr">
        <is>
          <t>17 %</t>
        </is>
      </c>
    </row>
    <row r="101">
      <c r="A101" s="23" t="inlineStr">
        <is>
          <t>fh_aplica</t>
        </is>
      </c>
      <c r="B101" s="3" t="inlineStr">
        <is>
          <t>Framingham: ¿corresponde aplicarlo?</t>
        </is>
      </c>
      <c r="C101" s="23" t="inlineStr">
        <is>
          <t>Calculados</t>
        </is>
      </c>
      <c r="D101" s="3" t="inlineStr"/>
      <c r="E101" s="23" t="inlineStr">
        <is>
          <t>Sí</t>
        </is>
      </c>
    </row>
    <row r="102">
      <c r="A102" s="23" t="inlineStr">
        <is>
          <t>fh_puntos</t>
        </is>
      </c>
      <c r="B102" s="3" t="inlineStr">
        <is>
          <t>Framingham: puntaje total</t>
        </is>
      </c>
      <c r="C102" s="23" t="inlineStr">
        <is>
          <t>Calculados</t>
        </is>
      </c>
      <c r="D102" s="3" t="inlineStr"/>
      <c r="E102" s="23" t="n">
        <v>7</v>
      </c>
    </row>
    <row r="103">
      <c r="A103" s="23" t="inlineStr">
        <is>
          <t>fh_riesgo</t>
        </is>
      </c>
      <c r="B103" s="3" t="inlineStr">
        <is>
          <t>Framingham: riesgo a 10 años (%)</t>
        </is>
      </c>
      <c r="C103" s="23" t="inlineStr">
        <is>
          <t>Calculados</t>
        </is>
      </c>
      <c r="D103" s="3" t="inlineStr"/>
      <c r="E103" s="23" t="inlineStr">
        <is>
          <t>3</t>
        </is>
      </c>
    </row>
    <row r="104">
      <c r="A104" s="23" t="inlineStr">
        <is>
          <t>fh_categoria</t>
        </is>
      </c>
      <c r="B104" s="3" t="inlineStr">
        <is>
          <t>Framingham: categoría de riesgo</t>
        </is>
      </c>
      <c r="C104" s="23" t="inlineStr">
        <is>
          <t>Calculados</t>
        </is>
      </c>
      <c r="D104" s="3" t="inlineStr">
        <is>
          <t>Bajo; Moderado; Alto</t>
        </is>
      </c>
      <c r="E104" s="23" t="inlineStr">
        <is>
          <t>Bajo</t>
        </is>
      </c>
    </row>
    <row r="105"/>
    <row r="106">
      <c r="A106" s="7" t="inlineStr">
        <is>
          <t>La columna «Ejemplo» muestra el relevamiento de prueba 010-44-4600 (valores ficticios).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2026-10-11T02:53:48Z</dcterms:created>
  <dcterms:modified xmlns:dcterms="http://purl.org/dc/terms/" xmlns:xsi="http://www.w3.org/2001/XMLSchema-instance" xsi:type="dcterms:W3CDTF">2026-10-11T02:53:48Z</dcterms:modified>
</cp:coreProperties>
</file>