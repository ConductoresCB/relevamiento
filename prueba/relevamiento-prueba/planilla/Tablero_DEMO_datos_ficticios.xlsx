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Tablero" sheetId="2" state="visible" r:id="rId2"/>
    <sheet xmlns:r="http://schemas.openxmlformats.org/officeDocument/2006/relationships" name="Datos" sheetId="3" state="visible" r:id="rId3"/>
    <sheet xmlns:r="http://schemas.openxmlformats.org/officeDocument/2006/relationships" name="Contactos" sheetId="4" state="visible" r:id="rId4"/>
    <sheet xmlns:r="http://schemas.openxmlformats.org/officeDocument/2006/relationships" name="Dicciona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"/>
    <numFmt numFmtId="167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A4E54"/>
      <sz val="10"/>
    </font>
    <font>
      <name val="Arial"/>
      <b val="1"/>
      <color rgb="001C1E21"/>
      <sz val="18"/>
    </font>
    <font>
      <name val="Arial"/>
      <b val="1"/>
      <color rgb="009A3412"/>
      <sz val="10"/>
    </font>
    <font>
      <name val="Arial"/>
      <b val="1"/>
      <color rgb="001A588F"/>
      <sz val="12"/>
    </font>
    <font>
      <name val="Arial"/>
      <b val="1"/>
      <sz val="10"/>
    </font>
    <font>
      <name val="Arial"/>
      <b val="1"/>
      <color rgb="000000FF"/>
      <sz val="10"/>
    </font>
    <font>
      <name val="Arial"/>
      <color theme="1"/>
      <sz val="11"/>
    </font>
  </fonts>
  <fills count="6">
    <fill>
      <patternFill/>
    </fill>
    <fill>
      <patternFill patternType="gray125"/>
    </fill>
    <fill>
      <patternFill patternType="solid">
        <fgColor rgb="001C1E21"/>
      </patternFill>
    </fill>
    <fill>
      <patternFill patternType="solid">
        <fgColor rgb="00E3EDF8"/>
      </patternFill>
    </fill>
    <fill>
      <patternFill patternType="solid">
        <fgColor rgb="00FFFF00"/>
      </patternFill>
    </fill>
    <fill>
      <patternFill patternType="solid">
        <fgColor rgb="00EDE9DF"/>
      </patternFill>
    </fill>
  </fills>
  <borders count="2">
    <border>
      <left/>
      <right/>
      <top/>
      <bottom/>
      <diagonal/>
    </border>
    <border>
      <bottom style="thin">
        <color rgb="00CFC8B8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4" fillId="0" borderId="0" pivotButton="0" quotePrefix="0" xfId="0"/>
    <xf numFmtId="0" fontId="9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center" wrapText="1"/>
    </xf>
    <xf numFmtId="0" fontId="2" fillId="0" borderId="1" pivotButton="0" quotePrefix="0" xfId="0"/>
    <xf numFmtId="1" fontId="7" fillId="3" borderId="0" pivotButton="0" quotePrefix="0" xfId="0"/>
    <xf numFmtId="165" fontId="7" fillId="3" borderId="0" pivotButton="0" quotePrefix="0" xfId="0"/>
    <xf numFmtId="0" fontId="3" fillId="0" borderId="0" pivotButton="0" quotePrefix="0" xfId="0"/>
    <xf numFmtId="0" fontId="8" fillId="4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1" pivotButton="0" quotePrefix="0" xfId="0"/>
    <xf numFmtId="167" fontId="2" fillId="0" borderId="1" pivotButton="0" quotePrefix="0" xfId="0"/>
    <xf numFmtId="0" fontId="7" fillId="5" borderId="0" pivotButton="0" quotePrefix="0" xfId="0"/>
    <xf numFmtId="0" fontId="9" fillId="5" borderId="0" pivotButton="0" quotePrefix="0" xfId="0"/>
    <xf numFmtId="167" fontId="9" fillId="0" borderId="1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Riesgo de diabetes a 10 años (FINDRISK)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1A588F"/>
            </a:solidFill>
            <a:ln xmlns:a="http://schemas.openxmlformats.org/drawingml/2006/main">
              <a:solidFill>
                <a:srgbClr val="1A588F"/>
              </a:solidFill>
              <a:prstDash val="solid"/>
            </a:ln>
          </spPr>
          <dPt>
            <idx val="0"/>
            <spPr>
              <a:solidFill xmlns:a="http://schemas.openxmlformats.org/drawingml/2006/main">
                <a:srgbClr val="EED59B"/>
              </a:solidFill>
              <a:ln xmlns:a="http://schemas.openxmlformats.org/drawingml/2006/main">
                <a:solidFill>
                  <a:srgbClr val="EED59B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DEA553"/>
              </a:solidFill>
              <a:ln xmlns:a="http://schemas.openxmlformats.org/drawingml/2006/main">
                <a:solidFill>
                  <a:srgbClr val="DEA553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CA7322"/>
              </a:solidFill>
              <a:ln xmlns:a="http://schemas.openxmlformats.org/drawingml/2006/main">
                <a:solidFill>
                  <a:srgbClr val="CA7322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A44C1D"/>
              </a:solidFill>
              <a:ln xmlns:a="http://schemas.openxmlformats.org/drawingml/2006/main">
                <a:solidFill>
                  <a:srgbClr val="A44C1D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72C1A"/>
              </a:solidFill>
              <a:ln xmlns:a="http://schemas.openxmlformats.org/drawingml/2006/main">
                <a:solidFill>
                  <a:srgbClr val="772C1A"/>
                </a:solidFill>
                <a:prstDash val="solid"/>
              </a:ln>
            </spPr>
          </dPt>
          <dLbls>
            <showLegendKey val="0"/>
            <showVal val="1"/>
            <showCatName val="0"/>
            <showSerName val="0"/>
            <showPercent val="0"/>
          </dLbls>
          <cat>
            <numRef>
              <f>'Tablero'!$B$39:$B$43</f>
            </numRef>
          </cat>
          <val>
            <numRef>
              <f>'Tablero'!$C$39:$C$43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Riesgo cardiovascular a 10 años (Framingham con IMC)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1A588F"/>
            </a:solidFill>
            <a:ln xmlns:a="http://schemas.openxmlformats.org/drawingml/2006/main">
              <a:solidFill>
                <a:srgbClr val="1A588F"/>
              </a:solidFill>
              <a:prstDash val="solid"/>
            </a:ln>
          </spPr>
          <dPt>
            <idx val="0"/>
            <spPr>
              <a:solidFill xmlns:a="http://schemas.openxmlformats.org/drawingml/2006/main">
                <a:srgbClr val="EED59B"/>
              </a:solidFill>
              <a:ln xmlns:a="http://schemas.openxmlformats.org/drawingml/2006/main">
                <a:solidFill>
                  <a:srgbClr val="EED59B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A7322"/>
              </a:solidFill>
              <a:ln xmlns:a="http://schemas.openxmlformats.org/drawingml/2006/main">
                <a:solidFill>
                  <a:srgbClr val="CA7322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72C1A"/>
              </a:solidFill>
              <a:ln xmlns:a="http://schemas.openxmlformats.org/drawingml/2006/main">
                <a:solidFill>
                  <a:srgbClr val="772C1A"/>
                </a:solidFill>
                <a:prstDash val="solid"/>
              </a:ln>
            </spPr>
          </dPt>
          <dLbls>
            <showLegendKey val="0"/>
            <showVal val="1"/>
            <showCatName val="0"/>
            <showSerName val="0"/>
            <showPercent val="0"/>
          </dLbls>
          <cat>
            <numRef>
              <f>'Tablero'!$B$53:$B$55</f>
            </numRef>
          </cat>
          <val>
            <numRef>
              <f>'Tablero'!$C$53:$C$55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Estado nutricional según IMC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1A588F"/>
            </a:solidFill>
            <a:ln xmlns:a="http://schemas.openxmlformats.org/drawingml/2006/main">
              <a:solidFill>
                <a:srgbClr val="1A588F"/>
              </a:solidFill>
              <a:prstDash val="solid"/>
            </a:ln>
          </spPr>
          <dPt>
            <idx val="0"/>
            <spPr>
              <a:solidFill xmlns:a="http://schemas.openxmlformats.org/drawingml/2006/main">
                <a:srgbClr val="EED59B"/>
              </a:solidFill>
              <a:ln xmlns:a="http://schemas.openxmlformats.org/drawingml/2006/main">
                <a:solidFill>
                  <a:srgbClr val="EED59B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A588F"/>
              </a:solidFill>
              <a:ln xmlns:a="http://schemas.openxmlformats.org/drawingml/2006/main">
                <a:solidFill>
                  <a:srgbClr val="1A588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CA7322"/>
              </a:solidFill>
              <a:ln xmlns:a="http://schemas.openxmlformats.org/drawingml/2006/main">
                <a:solidFill>
                  <a:srgbClr val="CA7322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72C1A"/>
              </a:solidFill>
              <a:ln xmlns:a="http://schemas.openxmlformats.org/drawingml/2006/main">
                <a:solidFill>
                  <a:srgbClr val="772C1A"/>
                </a:solidFill>
                <a:prstDash val="solid"/>
              </a:ln>
            </spPr>
          </dPt>
          <dLbls>
            <showLegendKey val="0"/>
            <showVal val="1"/>
            <showCatName val="0"/>
            <showSerName val="0"/>
            <showPercent val="0"/>
          </dLbls>
          <cat>
            <numRef>
              <f>'Tablero'!$B$67:$B$70</f>
            </numRef>
          </cat>
          <val>
            <numRef>
              <f>'Tablero'!$C$67:$C$70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Prevalencias (% de quienes respondieron)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1A588F"/>
            </a:solidFill>
            <a:ln xmlns:a="http://schemas.openxmlformats.org/drawingml/2006/main">
              <a:solidFill>
                <a:srgbClr val="1A588F"/>
              </a:solidFill>
              <a:prstDash val="solid"/>
            </a:ln>
          </spPr>
          <dLbls>
            <numFmt formatCode="0%"/>
            <showLegendKey val="0"/>
            <showVal val="1"/>
            <showCatName val="0"/>
            <showSerName val="0"/>
            <showPercent val="0"/>
          </dLbls>
          <cat>
            <numRef>
              <f>'Tablero'!$B$80:$B$90</f>
            </numRef>
          </cat>
          <val>
            <numRef>
              <f>'Tablero'!$E$80:$E$90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Lugar de nacimiento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1A588F"/>
            </a:solidFill>
            <a:ln xmlns:a="http://schemas.openxmlformats.org/drawingml/2006/main">
              <a:solidFill>
                <a:srgbClr val="1A588F"/>
              </a:solidFill>
              <a:prstDash val="solid"/>
            </a:ln>
          </spPr>
          <dLbls>
            <showLegendKey val="0"/>
            <showVal val="1"/>
            <showCatName val="0"/>
            <showSerName val="0"/>
            <showPercent val="0"/>
          </dLbls>
          <cat>
            <numRef>
              <f>'Tablero'!$B$102:$B$106</f>
            </numRef>
          </cat>
          <val>
            <numRef>
              <f>'Tablero'!$C$102:$C$106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Máximo nivel educativo alcanzado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1A588F"/>
            </a:solidFill>
            <a:ln xmlns:a="http://schemas.openxmlformats.org/drawingml/2006/main">
              <a:solidFill>
                <a:srgbClr val="1A588F"/>
              </a:solidFill>
              <a:prstDash val="solid"/>
            </a:ln>
          </spPr>
          <dLbls>
            <showLegendKey val="0"/>
            <showVal val="1"/>
            <showCatName val="0"/>
            <showSerName val="0"/>
            <showPercent val="0"/>
          </dLbls>
          <cat>
            <numRef>
              <f>'Tablero'!$B$116:$B$122</f>
            </numRef>
          </cat>
          <val>
            <numRef>
              <f>'Tablero'!$C$116:$C$122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Recorrido que realiza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1A588F"/>
            </a:solidFill>
            <a:ln xmlns:a="http://schemas.openxmlformats.org/drawingml/2006/main">
              <a:solidFill>
                <a:srgbClr val="1A588F"/>
              </a:solidFill>
              <a:prstDash val="solid"/>
            </a:ln>
          </spPr>
          <dLbls>
            <showLegendKey val="0"/>
            <showVal val="1"/>
            <showCatName val="0"/>
            <showSerName val="0"/>
            <showPercent val="0"/>
          </dLbls>
          <cat>
            <numRef>
              <f>'Tablero'!$B$132:$B$134</f>
            </numRef>
          </cat>
          <val>
            <numRef>
              <f>'Tablero'!$C$132:$C$134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Relación laboral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1A588F"/>
            </a:solidFill>
            <a:ln xmlns:a="http://schemas.openxmlformats.org/drawingml/2006/main">
              <a:solidFill>
                <a:srgbClr val="1A588F"/>
              </a:solidFill>
              <a:prstDash val="solid"/>
            </a:ln>
          </spPr>
          <dLbls>
            <showLegendKey val="0"/>
            <showVal val="1"/>
            <showCatName val="0"/>
            <showSerName val="0"/>
            <showPercent val="0"/>
          </dLbls>
          <cat>
            <numRef>
              <f>'Tablero'!$B$146:$B$148</f>
            </numRef>
          </cat>
          <val>
            <numRef>
              <f>'Tablero'!$C$146:$C$148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Estado de las rutas en Jujuy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1A588F"/>
            </a:solidFill>
            <a:ln xmlns:a="http://schemas.openxmlformats.org/drawingml/2006/main">
              <a:solidFill>
                <a:srgbClr val="1A588F"/>
              </a:solidFill>
              <a:prstDash val="solid"/>
            </a:ln>
          </spPr>
          <dLbls>
            <showLegendKey val="0"/>
            <showVal val="1"/>
            <showCatName val="0"/>
            <showSerName val="0"/>
            <showPercent val="0"/>
          </dLbls>
          <cat>
            <numRef>
              <f>'Tablero'!$B$160:$B$164</f>
            </numRef>
          </cat>
          <val>
            <numRef>
              <f>'Tablero'!$C$160:$C$164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 lo que gana, ¿llega a fin de mes?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1A588F"/>
            </a:solidFill>
            <a:ln xmlns:a="http://schemas.openxmlformats.org/drawingml/2006/main">
              <a:solidFill>
                <a:srgbClr val="1A588F"/>
              </a:solidFill>
              <a:prstDash val="solid"/>
            </a:ln>
          </spPr>
          <dLbls>
            <showLegendKey val="0"/>
            <showVal val="1"/>
            <showCatName val="0"/>
            <showSerName val="0"/>
            <showPercent val="0"/>
          </dLbls>
          <cat>
            <numRef>
              <f>'Tablero'!$B$174:$B$176</f>
            </numRef>
          </cat>
          <val>
            <numRef>
              <f>'Tablero'!$C$174:$C$176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Cobertura médica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1A588F"/>
            </a:solidFill>
            <a:ln xmlns:a="http://schemas.openxmlformats.org/drawingml/2006/main">
              <a:solidFill>
                <a:srgbClr val="1A588F"/>
              </a:solidFill>
              <a:prstDash val="solid"/>
            </a:ln>
          </spPr>
          <dLbls>
            <showLegendKey val="0"/>
            <showVal val="1"/>
            <showCatName val="0"/>
            <showSerName val="0"/>
            <showPercent val="0"/>
          </dLbls>
          <cat>
            <numRef>
              <f>'Tablero'!$B$189:$B$192</f>
            </numRef>
          </cat>
          <val>
            <numRef>
              <f>'Tablero'!$C$189:$C$192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Dónde come durante los viajes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1A588F"/>
            </a:solidFill>
            <a:ln xmlns:a="http://schemas.openxmlformats.org/drawingml/2006/main">
              <a:solidFill>
                <a:srgbClr val="1A588F"/>
              </a:solidFill>
              <a:prstDash val="solid"/>
            </a:ln>
          </spPr>
          <dLbls>
            <showLegendKey val="0"/>
            <showVal val="1"/>
            <showCatName val="0"/>
            <showSerName val="0"/>
            <showPercent val="0"/>
          </dLbls>
          <cat>
            <numRef>
              <f>'Tablero'!$B$203:$B$207</f>
            </numRef>
          </cat>
          <val>
            <numRef>
              <f>'Tablero'!$C$203:$C$207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Bebidas energéticas en viaje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1A588F"/>
            </a:solidFill>
            <a:ln xmlns:a="http://schemas.openxmlformats.org/drawingml/2006/main">
              <a:solidFill>
                <a:srgbClr val="1A588F"/>
              </a:solidFill>
              <a:prstDash val="solid"/>
            </a:ln>
          </spPr>
          <dLbls>
            <showLegendKey val="0"/>
            <showVal val="1"/>
            <showCatName val="0"/>
            <showSerName val="0"/>
            <showPercent val="0"/>
          </dLbls>
          <cat>
            <numRef>
              <f>'Tablero'!$B$217:$B$223</f>
            </numRef>
          </cat>
          <val>
            <numRef>
              <f>'Tablero'!$C$217:$C$223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Instrumento</author>
  </authors>
  <commentList>
    <comment ref="A1" authorId="0" shapeId="0">
      <text>
        <t>Identificador único del relevamiento (generado por la app)</t>
      </text>
    </comment>
    <comment ref="B1" authorId="0" shapeId="0">
      <text>
        <t>ID interno del participante (equipo, dispositivo y N° de orden)</t>
      </text>
    </comment>
    <comment ref="C1" authorId="0" shapeId="0">
      <text>
        <t>Código de identificación (orden-edad-código postal)</t>
      </text>
    </comment>
    <comment ref="D1" authorId="0" shapeId="0">
      <text>
        <t>Número de orden</t>
      </text>
    </comment>
    <comment ref="E1" authorId="0" shapeId="0">
      <text>
        <t>Edad (años cumplidos)</t>
      </text>
    </comment>
    <comment ref="F1" authorId="0" shapeId="0">
      <text>
        <t>Código postal</t>
      </text>
    </comment>
    <comment ref="G1" authorId="0" shapeId="0">
      <text>
        <t>Fecha del relevamiento (AAAA-MM-DD)</t>
      </text>
    </comment>
    <comment ref="H1" authorId="0" shapeId="0">
      <text>
        <t>Hora de inicio</t>
      </text>
    </comment>
    <comment ref="I1" authorId="0" shapeId="0">
      <text>
        <t>Hora de cierre</t>
      </text>
    </comment>
    <comment ref="J1" authorId="0" shapeId="0">
      <text>
        <t>Equipo</t>
      </text>
    </comment>
    <comment ref="K1" authorId="0" shapeId="0">
      <text>
        <t>Dispositivo</t>
      </text>
    </comment>
    <comment ref="L1" authorId="0" shapeId="0">
      <text>
        <t>Encuestador/a</t>
      </text>
    </comment>
    <comment ref="M1" authorId="0" shapeId="0">
      <text>
        <t>Puesto o lugar de relevamiento</t>
      </text>
    </comment>
    <comment ref="N1" authorId="0" shapeId="0">
      <text>
        <t>Consentimiento informado</t>
      </text>
    </comment>
    <comment ref="O1" authorId="0" shapeId="0">
      <text>
        <t>Acepta compartir con la app de camioneros</t>
      </text>
    </comment>
    <comment ref="P1" authorId="0" shapeId="0">
      <text>
        <t>Preguntas sociodemográficas respondidas</t>
      </text>
    </comment>
    <comment ref="Q1" authorId="0" shapeId="0">
      <text>
        <t>Módulo sociodemográfico completo</t>
      </text>
    </comment>
    <comment ref="R1" authorId="0" shapeId="0">
      <text>
        <t>Módulo biológico completo</t>
      </text>
    </comment>
    <comment ref="S1" authorId="0" shapeId="0">
      <text>
        <t>Glucometría realizada</t>
      </text>
    </comment>
    <comment ref="T1" authorId="0" shapeId="0">
      <text>
        <t>Estado del relevamiento</t>
      </text>
    </comment>
    <comment ref="U1" authorId="0" shapeId="0">
      <text>
        <t>Versión del instrumento</t>
      </text>
    </comment>
    <comment ref="V1" authorId="0" shapeId="0">
      <text>
        <t>Última modificación (fecha y hora)</t>
      </text>
    </comment>
    <comment ref="W1" authorId="0" shapeId="0">
      <text>
        <t>1. Lugar de nacimiento</t>
      </text>
    </comment>
    <comment ref="X1" authorId="0" shapeId="0">
      <text>
        <t>1. Provincia (si responde «Argentina»)</t>
      </text>
    </comment>
    <comment ref="Y1" authorId="0" shapeId="0">
      <text>
        <t>2. Máximo nivel educativo alcanzado</t>
      </text>
    </comment>
    <comment ref="Z1" authorId="0" shapeId="0">
      <text>
        <t>3. ¿Está actualmente en pareja?</t>
      </text>
    </comment>
    <comment ref="AA1" authorId="0" shapeId="0">
      <text>
        <t>4. Cantidad de personas con que convive</t>
      </text>
    </comment>
    <comment ref="AB1" authorId="0" shapeId="0">
      <text>
        <t>5. Cantidad de personas que tiene a cargo</t>
      </text>
    </comment>
    <comment ref="AC1" authorId="0" shapeId="0">
      <text>
        <t>6. ¿Qué idioma(s) entiende?</t>
      </text>
    </comment>
    <comment ref="AD1" authorId="0" shapeId="0">
      <text>
        <t>6. Especificar (si responde «Otro»)</t>
      </text>
    </comment>
    <comment ref="AE1" authorId="0" shapeId="0">
      <text>
        <t>7. ¿Qué idioma(s) habla?</t>
      </text>
    </comment>
    <comment ref="AF1" authorId="0" shapeId="0">
      <text>
        <t>7. Especificar (si responde «Otro»)</t>
      </text>
    </comment>
    <comment ref="AG1" authorId="0" shapeId="0">
      <text>
        <t>8. ¿En qué país obtuvo su licencia de conducir profesional?</t>
      </text>
    </comment>
    <comment ref="AH1" authorId="0" shapeId="0">
      <text>
        <t>8. ¿En qué país? (si responde «Otro»)</t>
      </text>
    </comment>
    <comment ref="AI1" authorId="0" shapeId="0">
      <text>
        <t>9. ¿Cómo es el estado de las rutas que recorre en Jujuy?</t>
      </text>
    </comment>
    <comment ref="AJ1" authorId="0" shapeId="0">
      <text>
        <t>10. ¿Hace cuántos años trabaja como chofer de camión?</t>
      </text>
    </comment>
    <comment ref="AK1" authorId="0" shapeId="0">
      <text>
        <t>11. ¿Qué recorrido está realizando ahora?</t>
      </text>
    </comment>
    <comment ref="AL1" authorId="0" shapeId="0">
      <text>
        <t>12. ¿Con qué frecuencia realiza ese recorrido? — Otros tramos del corredor + Jujuy</t>
      </text>
    </comment>
    <comment ref="AM1" authorId="0" shapeId="0">
      <text>
        <t>12. Especificar (si responde «Otro»)</t>
      </text>
    </comment>
    <comment ref="AN1" authorId="0" shapeId="0">
      <text>
        <t>12. ¿Con qué frecuencia realiza ese recorrido? — Tramo Jujuy</t>
      </text>
    </comment>
    <comment ref="AO1" authorId="0" shapeId="0">
      <text>
        <t>12. Especificar (si responde «Otro»)</t>
      </text>
    </comment>
    <comment ref="AP1" authorId="0" shapeId="0">
      <text>
        <t>13. ¿Cuál es su relación laboral actual?</t>
      </text>
    </comment>
    <comment ref="AQ1" authorId="0" shapeId="0">
      <text>
        <t>13. Especificar (si responde «Otro»)</t>
      </text>
    </comment>
    <comment ref="AR1" authorId="0" shapeId="0">
      <text>
        <t>14. ¿Cómo se siente con su situación laboral actual?</t>
      </text>
    </comment>
    <comment ref="AS1" authorId="0" shapeId="0">
      <text>
        <t>15. ¿Cree que su trabajo representa un riesgo para su salud?</t>
      </text>
    </comment>
    <comment ref="AT1" authorId="0" shapeId="0">
      <text>
        <t>16. Por lo general, ¿cuántas horas conduce sin hacer paradas?</t>
      </text>
    </comment>
    <comment ref="AU1" authorId="0" shapeId="0">
      <text>
        <t>17. ¿Realiza paradas durante su recorrido?</t>
      </text>
    </comment>
    <comment ref="AV1" authorId="0" shapeId="0">
      <text>
        <t>18. ¿Dónde suele comer durante los viajes?</t>
      </text>
    </comment>
    <comment ref="AW1" authorId="0" shapeId="0">
      <text>
        <t>18. Especificar (si responde «Otro»)</t>
      </text>
    </comment>
    <comment ref="AX1" authorId="0" shapeId="0">
      <text>
        <t>19. ¿Cuántas horas duerme por día?</t>
      </text>
    </comment>
    <comment ref="AY1" authorId="0" shapeId="0">
      <text>
        <t>20. ¿Con qué frecuencia consume frutas y verduras mientras está en ruta?</t>
      </text>
    </comment>
    <comment ref="AZ1" authorId="0" shapeId="0">
      <text>
        <t>21. ¿Qué bebidas consume durante sus viajes?</t>
      </text>
    </comment>
    <comment ref="BA1" authorId="0" shapeId="0">
      <text>
        <t>21. Especificar (si responde «Otro»)</t>
      </text>
    </comment>
    <comment ref="BB1" authorId="0" shapeId="0">
      <text>
        <t>22. ¿Suele tener acceso a sanitarios en sus recorridos?</t>
      </text>
    </comment>
    <comment ref="BC1" authorId="0" shapeId="0">
      <text>
        <t>23. ¿Dedica tiempo al mes a actividades recreativas (cine, paseos, deporte, etc.)?</t>
      </text>
    </comment>
    <comment ref="BD1" authorId="0" shapeId="0">
      <text>
        <t>24. ¿Ha tenido algún siniestro vial en el último año?</t>
      </text>
    </comment>
    <comment ref="BE1" authorId="0" shapeId="0">
      <text>
        <t>25. Con lo que gana, ¿llega a fin de mes?</t>
      </text>
    </comment>
    <comment ref="BF1" authorId="0" shapeId="0">
      <text>
        <t>26. ¿Tiene cobertura médica?</t>
      </text>
    </comment>
    <comment ref="BG1" authorId="0" shapeId="0">
      <text>
        <t>27. ¿Dónde recurre para control médico?</t>
      </text>
    </comment>
    <comment ref="BH1" authorId="0" shapeId="0">
      <text>
        <t>28. ¿Con qué frecuencia consulta al médico, aunque no presente síntomas?</t>
      </text>
    </comment>
    <comment ref="BI1" authorId="0" shapeId="0">
      <text>
        <t>29. ¿Dónde recurre para atención de dolencias, malestar o síntomas?</t>
      </text>
    </comment>
    <comment ref="BJ1" authorId="0" shapeId="0">
      <text>
        <t>30. ¿Tiene dolores frecuentes en alguna parte del cuerpo?</t>
      </text>
    </comment>
    <comment ref="BK1" authorId="0" shapeId="0">
      <text>
        <t>30. ¿Qué dolores corporales presenta? (si responde «Sí»)</t>
      </text>
    </comment>
    <comment ref="BL1" authorId="0" shapeId="0">
      <text>
        <t>31. Sin indicación médica, suele tomar:</t>
      </text>
    </comment>
    <comment ref="BM1" authorId="0" shapeId="0">
      <text>
        <t>32. ¿Qué medicamentos o hierbas toma?</t>
      </text>
    </comment>
    <comment ref="BN1" authorId="0" shapeId="0">
      <text>
        <t>33. Actualmente, ¿ha sido diagnosticado con alguna enfermedad?</t>
      </text>
    </comment>
    <comment ref="BO1" authorId="0" shapeId="0">
      <text>
        <t>33. Especificar (si responde «Otros»)</t>
      </text>
    </comment>
    <comment ref="BP1" authorId="0" shapeId="0">
      <text>
        <t>34. ¿Con qué frecuencia realiza actividad física fuera del trabajo?</t>
      </text>
    </comment>
    <comment ref="BQ1" authorId="0" shapeId="0">
      <text>
        <t>35. ¿Consume bebidas energéticas durante sus viajes?</t>
      </text>
    </comment>
    <comment ref="BR1" authorId="0" shapeId="0">
      <text>
        <t>35. Especificar (si responde «Otro»)</t>
      </text>
    </comment>
    <comment ref="BS1" authorId="0" shapeId="0">
      <text>
        <t>36. ¿Usted coquea?</t>
      </text>
    </comment>
    <comment ref="BT1" authorId="0" shapeId="0">
      <text>
        <t>37. ¿Consume bebidas alcohólicas? (en horario NO laboral)</t>
      </text>
    </comment>
    <comment ref="BU1" authorId="0" shapeId="0">
      <text>
        <t>38. ¿Con qué frecuencia se comunica con colegas durante sus viajes?</t>
      </text>
    </comment>
    <comment ref="BV1" authorId="0" shapeId="0">
      <text>
        <t>39. ¿Suele compartir trayectos con otros choferes?</t>
      </text>
    </comment>
    <comment ref="BW1" authorId="0" shapeId="0">
      <text>
        <t>¿Tiene diagnóstico de diabetes?</t>
      </text>
    </comment>
    <comment ref="BX1" authorId="0" shapeId="0">
      <text>
        <t>Sexo</t>
      </text>
    </comment>
    <comment ref="BY1" authorId="0" shapeId="0">
      <text>
        <t>Peso (kg)</t>
      </text>
    </comment>
    <comment ref="BZ1" authorId="0" shapeId="0">
      <text>
        <t>Altura (m)</t>
      </text>
    </comment>
    <comment ref="CA1" authorId="0" shapeId="0">
      <text>
        <t>IMC (calculado)</t>
      </text>
    </comment>
    <comment ref="CB1" authorId="0" shapeId="0">
      <text>
        <t>Perímetro abdominal (cm)</t>
      </text>
    </comment>
    <comment ref="CC1" authorId="0" shapeId="0">
      <text>
        <t>Presión arterial sistólica (mmHg)</t>
      </text>
    </comment>
    <comment ref="CD1" authorId="0" shapeId="0">
      <text>
        <t>Presión arterial diastólica (mmHg)</t>
      </text>
    </comment>
    <comment ref="CE1" authorId="0" shapeId="0">
      <text>
        <t>¿Hace actividad física regularmente? (al menos 30 min por día)</t>
      </text>
    </comment>
    <comment ref="CF1" authorId="0" shapeId="0">
      <text>
        <t>¿Consume frutas o verduras todos los días?</t>
      </text>
    </comment>
    <comment ref="CG1" authorId="0" shapeId="0">
      <text>
        <t>¿Tiene diagnóstico de hipertensión?</t>
      </text>
    </comment>
    <comment ref="CH1" authorId="0" shapeId="0">
      <text>
        <t>¿Toma medicación antihipertensiva?</t>
      </text>
    </comment>
    <comment ref="CI1" authorId="0" shapeId="0">
      <text>
        <t>¿Tuvo glucosa elevada en sangre alguna vez?</t>
      </text>
    </comment>
    <comment ref="CJ1" authorId="0" shapeId="0">
      <text>
        <t>Antecedentes familiares de diabetes</t>
      </text>
    </comment>
    <comment ref="CK1" authorId="0" shapeId="0">
      <text>
        <t>¿Fuma tabaco?</t>
      </text>
    </comment>
    <comment ref="CL1" authorId="0" shapeId="0">
      <text>
        <t>¿Acepta evaluarse el nivel de azúcar en sangre?</t>
      </text>
    </comment>
    <comment ref="CM1" authorId="0" shapeId="0">
      <text>
        <t>Hora de la última ingesta (líquido o sólido)</t>
      </text>
    </comment>
    <comment ref="CN1" authorId="0" shapeId="0">
      <text>
        <t>¿Qué comió o bebió?</t>
      </text>
    </comment>
    <comment ref="CO1" authorId="0" shapeId="0">
      <text>
        <t>Hora de la medición</t>
      </text>
    </comment>
    <comment ref="CP1" authorId="0" shapeId="0">
      <text>
        <t>Resultado de glucometría periférica (mg/dL)</t>
      </text>
    </comment>
    <comment ref="CQ1" authorId="0" shapeId="0">
      <text>
        <t>Minutos de ayuno (calculado)</t>
      </text>
    </comment>
    <comment ref="CR1" authorId="0" shapeId="0">
      <text>
        <t>FINDRISK: ¿corresponde aplicarlo?</t>
      </text>
    </comment>
    <comment ref="CS1" authorId="0" shapeId="0">
      <text>
        <t>FINDRISK: puntaje total</t>
      </text>
    </comment>
    <comment ref="CT1" authorId="0" shapeId="0">
      <text>
        <t>FINDRISK: nivel de riesgo</t>
      </text>
    </comment>
    <comment ref="CU1" authorId="0" shapeId="0">
      <text>
        <t>FINDRISK: probabilidad de diabetes a 10 años</t>
      </text>
    </comment>
    <comment ref="CV1" authorId="0" shapeId="0">
      <text>
        <t>Framingham: ¿corresponde aplicarlo?</t>
      </text>
    </comment>
    <comment ref="CW1" authorId="0" shapeId="0">
      <text>
        <t>Framingham: puntaje total</t>
      </text>
    </comment>
    <comment ref="CX1" authorId="0" shapeId="0">
      <text>
        <t>Framingham: riesgo a 10 años (%)</t>
      </text>
    </comment>
    <comment ref="CY1" authorId="0" shapeId="0">
      <text>
        <t>Framingham: categoría de riesgo</t>
      </text>
    </comment>
  </commentList>
</comments>
</file>

<file path=xl/comments/comment2.xml><?xml version="1.0" encoding="utf-8"?>
<comments xmlns="http://schemas.openxmlformats.org/spreadsheetml/2006/main">
  <authors>
    <author>Instrumento</author>
  </authors>
  <commentList>
    <comment ref="A1" authorId="0" shapeId="0">
      <text>
        <t>Datos personales. No compartir esta hoja: protegerla (Datos &gt; Proteger hojas) y no incluirla en exportaciones para publicar.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/Relationships>
</file>

<file path=xl/drawings/drawing1.xml><?xml version="1.0" encoding="utf-8"?>
<wsDr xmlns="http://schemas.openxmlformats.org/drawingml/2006/spreadsheetDrawing">
  <oneCellAnchor>
    <from>
      <col>8</col>
      <colOff>0</colOff>
      <row>35</row>
      <rowOff>0</rowOff>
    </from>
    <ext cx="576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49</row>
      <rowOff>0</rowOff>
    </from>
    <ext cx="5760000" cy="21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63</row>
      <rowOff>0</rowOff>
    </from>
    <ext cx="5760000" cy="21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77</row>
      <rowOff>0</rowOff>
    </from>
    <ext cx="5760000" cy="3744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8</col>
      <colOff>0</colOff>
      <row>99</row>
      <rowOff>0</rowOff>
    </from>
    <ext cx="5760000" cy="21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8</col>
      <colOff>0</colOff>
      <row>113</row>
      <rowOff>0</rowOff>
    </from>
    <ext cx="5760000" cy="2592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8</col>
      <colOff>0</colOff>
      <row>129</row>
      <rowOff>0</rowOff>
    </from>
    <ext cx="5760000" cy="216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8</col>
      <colOff>0</colOff>
      <row>143</row>
      <rowOff>0</rowOff>
    </from>
    <ext cx="5760000" cy="216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8</col>
      <colOff>0</colOff>
      <row>157</row>
      <rowOff>0</rowOff>
    </from>
    <ext cx="5760000" cy="216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8</col>
      <colOff>0</colOff>
      <row>171</row>
      <rowOff>0</rowOff>
    </from>
    <ext cx="5760000" cy="216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8</col>
      <colOff>0</colOff>
      <row>185</row>
      <rowOff>0</rowOff>
    </from>
    <ext cx="5760000" cy="216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8</col>
      <colOff>0</colOff>
      <row>199</row>
      <rowOff>0</rowOff>
    </from>
    <ext cx="5760000" cy="216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8</col>
      <colOff>0</colOff>
      <row>213</row>
      <rowOff>0</rowOff>
    </from>
    <ext cx="5760000" cy="2592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E8A317"/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0" customWidth="1" min="2" max="2"/>
  </cols>
  <sheetData>
    <row r="1">
      <c r="B1" s="1" t="inlineStr">
        <is>
          <t>Base de relevamiento · Corredor Bioceánico (Jujuy)</t>
        </is>
      </c>
    </row>
    <row r="2">
      <c r="B2" s="2" t="inlineStr">
        <is>
          <t>Planilla que recibe los datos de la app de campo y arma el tablero sola.</t>
        </is>
      </c>
    </row>
    <row r="3">
      <c r="B3" s="3" t="inlineStr"/>
    </row>
    <row r="4">
      <c r="B4" s="4" t="inlineStr">
        <is>
          <t>Hojas</t>
        </is>
      </c>
    </row>
    <row r="5">
      <c r="B5" s="3" t="inlineStr">
        <is>
          <t>Tablero: indicadores, tablas y gráficos. Se recalcula solo; las únicas celdas para escribir son las amarillas (nombres de equipos).</t>
        </is>
      </c>
    </row>
    <row r="6">
      <c r="B6" s="3" t="inlineStr">
        <is>
          <t>Datos: una fila por relevamiento. La llena el script o se pega el CSV de la app. No cambiar la fila 1 ni insertar columnas en el medio.</t>
        </is>
      </c>
    </row>
    <row r="7">
      <c r="B7" s="3" t="inlineStr">
        <is>
          <t>Contactos: correo y celular. Datos personales: proteger la hoja y no compartirla.</t>
        </is>
      </c>
    </row>
    <row r="8">
      <c r="B8" s="3" t="inlineStr">
        <is>
          <t>Diccionario: qué significa cada columna, sus valores posibles y un ejemplo.</t>
        </is>
      </c>
    </row>
    <row r="9">
      <c r="B9" s="3" t="inlineStr"/>
    </row>
    <row r="10">
      <c r="B10" s="4" t="inlineStr">
        <is>
          <t>Opción 1 — Planilla de Google (recomendada, sin costo)</t>
        </is>
      </c>
    </row>
    <row r="11">
      <c r="B11" s="3" t="inlineStr">
        <is>
          <t>1. Subí este archivo al Drive de la cuenta de Gmail del proyecto y abrilo con Hojas de cálculo de Google (Archivo &gt; Guardar como Hojas de cálculo de Google).</t>
        </is>
      </c>
    </row>
    <row r="12">
      <c r="B12" s="3" t="inlineStr">
        <is>
          <t>2. En esa planilla: Extensiones &gt; Apps Script. Borrá lo que aparece, pegá el contenido de Codigo.gs y cambiá la clave de la línea TOKEN.</t>
        </is>
      </c>
    </row>
    <row r="13">
      <c r="B13" s="3" t="inlineStr">
        <is>
          <t>3. Implementar &gt; Nueva implementación &gt; tipo «Aplicación web». Ejecutar como: Yo. Quién tiene acceso: Cualquier usuario. Autorizá los permisos.</t>
        </is>
      </c>
    </row>
    <row r="14">
      <c r="B14" s="3" t="inlineStr">
        <is>
          <t>4. Copiá la URL que termina en /exec y pegala, junto con la clave, en Ajustes de cada celular. Tocá «Probar conexión».</t>
        </is>
      </c>
    </row>
    <row r="15">
      <c r="B15" s="3" t="inlineStr">
        <is>
          <t>5. Compartí la planilla con el equipo como Lector para que vean el tablero. Para descargarla en Excel: Archivo &gt; Descargar &gt; Microsoft Excel.</t>
        </is>
      </c>
    </row>
    <row r="16">
      <c r="B16" s="3" t="inlineStr"/>
    </row>
    <row r="17">
      <c r="B17" s="4" t="inlineStr">
        <is>
          <t>Opción 2 — Solo Excel, sin internet</t>
        </is>
      </c>
    </row>
    <row r="18">
      <c r="B18" s="3" t="inlineStr">
        <is>
          <t>1. En la computadora de coordinación, la app importa los paquetes de todos los celulares (Ajustes &gt; Importar paquetes) y descarga un CSV consolidado.</t>
        </is>
      </c>
    </row>
    <row r="19">
      <c r="B19" s="3" t="inlineStr">
        <is>
          <t>2. En Excel: Datos &gt; Obtener datos &gt; Desde texto/CSV, origen UTF-8 y delimitador punto y coma. Copiá las filas (sin el encabezado) y pegalas desde la celda A2 de la hoja Datos.</t>
        </is>
      </c>
    </row>
    <row r="20">
      <c r="B20" s="3" t="inlineStr">
        <is>
          <t>3. El tablero se actualiza solo. Para un nuevo consolidado, seleccioná las filas de Datos desde la 2, apretá Supr (no elimines filas) y pegá el CSV completo otra vez (ya viene sin duplicados).</t>
        </is>
      </c>
    </row>
    <row r="21">
      <c r="B21" s="3" t="inlineStr"/>
    </row>
    <row r="22">
      <c r="B22" s="3" t="inlineStr">
        <is>
          <t>Para vaciar la planilla (por ejemplo después de una prueba): seleccioná desde la fila 2 de Datos y de Contactos y apretá Supr. Nunca borres la fila 1.</t>
        </is>
      </c>
    </row>
    <row r="23">
      <c r="B23" s="3" t="inlineStr"/>
    </row>
    <row r="24">
      <c r="B24" s="4" t="inlineStr">
        <is>
          <t>Notas metodológicas</t>
        </is>
      </c>
    </row>
    <row r="25">
      <c r="B25" s="3" t="inlineStr">
        <is>
          <t>Las fórmulas cubren hasta la fila 3000 de Datos. Si se superan, ampliar los rangos.</t>
        </is>
      </c>
    </row>
    <row r="26">
      <c r="B26" s="3" t="inlineStr">
        <is>
          <t>FINDRISK y Framingham se calculan en la app con las tablas del protocolo; la planilla solo cuenta categorías.</t>
        </is>
      </c>
    </row>
    <row r="27">
      <c r="B27" s="3" t="inlineStr">
        <is>
          <t>IMC exactamente 30: FINDRISK lo puntúa como «25 a 30» (1 punto) y Framingham como «30 o más», tal como dice el modelo de encuesta. Revisar el criterio.</t>
        </is>
      </c>
    </row>
    <row r="28">
      <c r="B28" s="3" t="inlineStr">
        <is>
          <t>Las preguntas de opción múltiple se guardan separadas por «; » (por ejemplo: «Español; Portugués»).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" customWidth="1" min="1" max="1"/>
    <col width="42" customWidth="1" min="2" max="2"/>
    <col width="15" customWidth="1" min="3" max="3"/>
    <col width="14" customWidth="1" min="4" max="4"/>
    <col width="14" customWidth="1" min="5" max="5"/>
    <col width="14" customWidth="1" min="6" max="6"/>
    <col width="3" customWidth="1" min="7" max="7"/>
  </cols>
  <sheetData>
    <row r="1">
      <c r="B1" s="5" t="inlineStr">
        <is>
          <t>Tablero · Conductores de camiones del Corredor Bioceánico (Jujuy)</t>
        </is>
      </c>
      <c r="C1" s="6" t="n"/>
      <c r="D1" s="6" t="n"/>
      <c r="E1" s="6" t="n"/>
      <c r="F1" s="6" t="n"/>
      <c r="G1" s="6" t="n"/>
    </row>
    <row r="2">
      <c r="B2" s="7" t="inlineStr">
        <is>
          <t>DATOS FICTICIOS DE EJEMPLO. Para usar la planilla real, partí de Base_Relevamiento_Tablero.xlsx.</t>
        </is>
      </c>
      <c r="C2" s="6" t="n"/>
      <c r="D2" s="6" t="n"/>
      <c r="E2" s="6" t="n"/>
      <c r="F2" s="6" t="n"/>
      <c r="G2" s="6" t="n"/>
    </row>
    <row r="3">
      <c r="B3" s="6" t="n"/>
      <c r="C3" s="6" t="n"/>
      <c r="D3" s="6" t="n"/>
      <c r="E3" s="6" t="n"/>
      <c r="F3" s="6" t="n"/>
      <c r="G3" s="6" t="n"/>
    </row>
    <row r="4">
      <c r="B4" s="8" t="inlineStr">
        <is>
          <t>Indicadores generales</t>
        </is>
      </c>
      <c r="C4" s="6" t="n"/>
      <c r="D4" s="6" t="n"/>
      <c r="E4" s="6" t="n"/>
      <c r="F4" s="6" t="n"/>
      <c r="G4" s="6" t="n"/>
    </row>
    <row r="5">
      <c r="B5" s="9" t="inlineStr">
        <is>
          <t>Indicador</t>
        </is>
      </c>
      <c r="C5" s="10" t="inlineStr">
        <is>
          <t>Valor</t>
        </is>
      </c>
      <c r="D5" s="6" t="n"/>
      <c r="E5" s="6" t="n"/>
      <c r="F5" s="6" t="n"/>
      <c r="G5" s="6" t="n"/>
    </row>
    <row r="6">
      <c r="B6" s="11" t="inlineStr">
        <is>
          <t>Relevamientos recibidos</t>
        </is>
      </c>
      <c r="C6" s="12">
        <f>COUNTA(Datos!$A$2:$A$3000)</f>
        <v/>
      </c>
      <c r="D6" s="6" t="n"/>
      <c r="E6" s="6" t="n"/>
      <c r="F6" s="6" t="n"/>
      <c r="G6" s="6" t="n"/>
    </row>
    <row r="7">
      <c r="B7" s="11" t="inlineStr">
        <is>
          <t>Participantes únicos (por ID)</t>
        </is>
      </c>
      <c r="C7" s="12">
        <f>IFERROR(SUMPRODUCT((Datos!$B$2:$B$3000&lt;&gt;"")/COUNTIF(Datos!$B$2:$B$3000,Datos!$B$2:$B$3000&amp;"")),0)</f>
        <v/>
      </c>
      <c r="D7" s="6" t="n"/>
      <c r="E7" s="6" t="n"/>
      <c r="F7" s="6" t="n"/>
      <c r="G7" s="6" t="n"/>
    </row>
    <row r="8">
      <c r="B8" s="11" t="inlineStr">
        <is>
          <t>Relevamientos finalizados</t>
        </is>
      </c>
      <c r="C8" s="12">
        <f>COUNTIF(Datos!$T$2:$T$3000,"finalizado")</f>
        <v/>
      </c>
      <c r="D8" s="6" t="n"/>
      <c r="E8" s="6" t="n"/>
      <c r="F8" s="6" t="n"/>
      <c r="G8" s="6" t="n"/>
    </row>
    <row r="9">
      <c r="B9" s="11" t="inlineStr">
        <is>
          <t>Con sociodemográfica completa</t>
        </is>
      </c>
      <c r="C9" s="12">
        <f>COUNTIF(Datos!$Q$2:$Q$3000,"Sí")</f>
        <v/>
      </c>
      <c r="D9" s="6" t="n"/>
      <c r="E9" s="6" t="n"/>
      <c r="F9" s="6" t="n"/>
      <c r="G9" s="6" t="n"/>
    </row>
    <row r="10">
      <c r="B10" s="11" t="inlineStr">
        <is>
          <t>Con biológica completa</t>
        </is>
      </c>
      <c r="C10" s="12">
        <f>COUNTIF(Datos!$R$2:$R$3000,"Sí")</f>
        <v/>
      </c>
      <c r="D10" s="6" t="n"/>
      <c r="E10" s="6" t="n"/>
      <c r="F10" s="6" t="n"/>
      <c r="G10" s="6" t="n"/>
    </row>
    <row r="11">
      <c r="B11" s="11" t="inlineStr">
        <is>
          <t>Con glucometría realizada</t>
        </is>
      </c>
      <c r="C11" s="12">
        <f>COUNTIF(Datos!$S$2:$S$3000,"Sí")</f>
        <v/>
      </c>
      <c r="D11" s="6" t="n"/>
      <c r="E11" s="6" t="n"/>
      <c r="F11" s="6" t="n"/>
      <c r="G11" s="6" t="n"/>
    </row>
    <row r="12">
      <c r="B12" s="11" t="inlineStr">
        <is>
          <t>Primer relevamiento</t>
        </is>
      </c>
      <c r="C12" s="13">
        <f>IF(COUNT(Datos!$G$2:$G$3000)=0,"",MIN(Datos!$G$2:$G$3000))</f>
        <v/>
      </c>
      <c r="D12" s="6" t="n"/>
      <c r="E12" s="6" t="n"/>
      <c r="F12" s="6" t="n"/>
      <c r="G12" s="6" t="n"/>
    </row>
    <row r="13">
      <c r="B13" s="11" t="inlineStr">
        <is>
          <t>Último relevamiento</t>
        </is>
      </c>
      <c r="C13" s="13">
        <f>IF(COUNT(Datos!$G$2:$G$3000)=0,"",MAX(Datos!$G$2:$G$3000))</f>
        <v/>
      </c>
      <c r="D13" s="6" t="n"/>
      <c r="E13" s="6" t="n"/>
      <c r="F13" s="6" t="n"/>
      <c r="G13" s="6" t="n"/>
    </row>
    <row r="14">
      <c r="B14" s="6" t="n"/>
      <c r="C14" s="6" t="n"/>
      <c r="D14" s="6" t="n"/>
      <c r="E14" s="6" t="n"/>
      <c r="F14" s="6" t="n"/>
      <c r="G14" s="6" t="n"/>
    </row>
    <row r="15">
      <c r="B15" s="8" t="inlineStr">
        <is>
          <t>Avance por equipo</t>
        </is>
      </c>
      <c r="C15" s="6" t="n"/>
      <c r="D15" s="6" t="n"/>
      <c r="E15" s="6" t="n"/>
      <c r="F15" s="6" t="n"/>
      <c r="G15" s="6" t="n"/>
    </row>
    <row r="16">
      <c r="B16" s="14" t="inlineStr">
        <is>
          <t>Las celdas amarillas son editables: escribí la letra de cada equipo tal como se cargó en Ajustes.</t>
        </is>
      </c>
      <c r="C16" s="6" t="n"/>
      <c r="D16" s="6" t="n"/>
      <c r="E16" s="6" t="n"/>
      <c r="F16" s="6" t="n"/>
      <c r="G16" s="6" t="n"/>
    </row>
    <row r="17">
      <c r="B17" s="9" t="inlineStr">
        <is>
          <t>Equipo</t>
        </is>
      </c>
      <c r="C17" s="10" t="inlineStr">
        <is>
          <t>Relevamientos</t>
        </is>
      </c>
      <c r="D17" s="10" t="inlineStr">
        <is>
          <t>Finalizados</t>
        </is>
      </c>
      <c r="E17" s="10" t="inlineStr">
        <is>
          <t>Con biológica</t>
        </is>
      </c>
      <c r="F17" s="10" t="inlineStr">
        <is>
          <t>Último</t>
        </is>
      </c>
      <c r="G17" s="6" t="n"/>
    </row>
    <row r="18">
      <c r="B18" s="15" t="inlineStr">
        <is>
          <t>A</t>
        </is>
      </c>
      <c r="C18" s="16">
        <f>IF(B18="","",COUNTIF(Datos!$J$2:$J$3000,B18))</f>
        <v/>
      </c>
      <c r="D18" s="16">
        <f>IF(B18="","",COUNTIFS(Datos!$J$2:$J$3000,B18,Datos!$T$2:$T$3000,"finalizado"))</f>
        <v/>
      </c>
      <c r="E18" s="16">
        <f>IF(B18="","",COUNTIFS(Datos!$J$2:$J$3000,B18,Datos!$R$2:$R$3000,"Sí"))</f>
        <v/>
      </c>
      <c r="F18" s="17">
        <f>IF(OR(B18="",COUNTIF(Datos!$J$2:$J$3000,B18)=0),"",_xlfn.MAXIFS(Datos!$G$2:$G$3000,Datos!$J$2:$J$3000,B18))</f>
        <v/>
      </c>
      <c r="G18" s="6" t="n"/>
    </row>
    <row r="19">
      <c r="B19" s="15" t="inlineStr">
        <is>
          <t>B</t>
        </is>
      </c>
      <c r="C19" s="16">
        <f>IF(B19="","",COUNTIF(Datos!$J$2:$J$3000,B19))</f>
        <v/>
      </c>
      <c r="D19" s="16">
        <f>IF(B19="","",COUNTIFS(Datos!$J$2:$J$3000,B19,Datos!$T$2:$T$3000,"finalizado"))</f>
        <v/>
      </c>
      <c r="E19" s="16">
        <f>IF(B19="","",COUNTIFS(Datos!$J$2:$J$3000,B19,Datos!$R$2:$R$3000,"Sí"))</f>
        <v/>
      </c>
      <c r="F19" s="17">
        <f>IF(OR(B19="",COUNTIF(Datos!$J$2:$J$3000,B19)=0),"",_xlfn.MAXIFS(Datos!$G$2:$G$3000,Datos!$J$2:$J$3000,B19))</f>
        <v/>
      </c>
      <c r="G19" s="6" t="n"/>
    </row>
    <row r="20">
      <c r="B20" s="15" t="inlineStr">
        <is>
          <t>C</t>
        </is>
      </c>
      <c r="C20" s="16">
        <f>IF(B20="","",COUNTIF(Datos!$J$2:$J$3000,B20))</f>
        <v/>
      </c>
      <c r="D20" s="16">
        <f>IF(B20="","",COUNTIFS(Datos!$J$2:$J$3000,B20,Datos!$T$2:$T$3000,"finalizado"))</f>
        <v/>
      </c>
      <c r="E20" s="16">
        <f>IF(B20="","",COUNTIFS(Datos!$J$2:$J$3000,B20,Datos!$R$2:$R$3000,"Sí"))</f>
        <v/>
      </c>
      <c r="F20" s="17">
        <f>IF(OR(B20="",COUNTIF(Datos!$J$2:$J$3000,B20)=0),"",_xlfn.MAXIFS(Datos!$G$2:$G$3000,Datos!$J$2:$J$3000,B20))</f>
        <v/>
      </c>
      <c r="G20" s="6" t="n"/>
    </row>
    <row r="21">
      <c r="B21" s="15" t="inlineStr">
        <is>
          <t>D</t>
        </is>
      </c>
      <c r="C21" s="16">
        <f>IF(B21="","",COUNTIF(Datos!$J$2:$J$3000,B21))</f>
        <v/>
      </c>
      <c r="D21" s="16">
        <f>IF(B21="","",COUNTIFS(Datos!$J$2:$J$3000,B21,Datos!$T$2:$T$3000,"finalizado"))</f>
        <v/>
      </c>
      <c r="E21" s="16">
        <f>IF(B21="","",COUNTIFS(Datos!$J$2:$J$3000,B21,Datos!$R$2:$R$3000,"Sí"))</f>
        <v/>
      </c>
      <c r="F21" s="17">
        <f>IF(OR(B21="",COUNTIF(Datos!$J$2:$J$3000,B21)=0),"",_xlfn.MAXIFS(Datos!$G$2:$G$3000,Datos!$J$2:$J$3000,B21))</f>
        <v/>
      </c>
      <c r="G21" s="6" t="n"/>
    </row>
    <row r="22">
      <c r="B22" s="15" t="inlineStr">
        <is>
          <t>E</t>
        </is>
      </c>
      <c r="C22" s="16">
        <f>IF(B22="","",COUNTIF(Datos!$J$2:$J$3000,B22))</f>
        <v/>
      </c>
      <c r="D22" s="16">
        <f>IF(B22="","",COUNTIFS(Datos!$J$2:$J$3000,B22,Datos!$T$2:$T$3000,"finalizado"))</f>
        <v/>
      </c>
      <c r="E22" s="16">
        <f>IF(B22="","",COUNTIFS(Datos!$J$2:$J$3000,B22,Datos!$R$2:$R$3000,"Sí"))</f>
        <v/>
      </c>
      <c r="F22" s="17">
        <f>IF(OR(B22="",COUNTIF(Datos!$J$2:$J$3000,B22)=0),"",_xlfn.MAXIFS(Datos!$G$2:$G$3000,Datos!$J$2:$J$3000,B22))</f>
        <v/>
      </c>
      <c r="G22" s="6" t="n"/>
    </row>
    <row r="23">
      <c r="B23" s="6" t="n"/>
      <c r="C23" s="6" t="n"/>
      <c r="D23" s="6" t="n"/>
      <c r="E23" s="6" t="n"/>
      <c r="F23" s="6" t="n"/>
      <c r="G23" s="6" t="n"/>
    </row>
    <row r="24">
      <c r="B24" s="8" t="inlineStr">
        <is>
          <t>Promedios</t>
        </is>
      </c>
      <c r="C24" s="6" t="n"/>
      <c r="D24" s="6" t="n"/>
      <c r="E24" s="6" t="n"/>
      <c r="F24" s="6" t="n"/>
      <c r="G24" s="6" t="n"/>
    </row>
    <row r="25">
      <c r="B25" s="14" t="inlineStr">
        <is>
          <t>La glucemia promedia mediciones con distintos tiempos de ayuno: usarla solo como referencia.</t>
        </is>
      </c>
      <c r="C25" s="6" t="n"/>
      <c r="D25" s="6" t="n"/>
      <c r="E25" s="6" t="n"/>
      <c r="F25" s="6" t="n"/>
      <c r="G25" s="6" t="n"/>
    </row>
    <row r="26">
      <c r="B26" s="9" t="inlineStr">
        <is>
          <t>Variable</t>
        </is>
      </c>
      <c r="C26" s="10" t="inlineStr">
        <is>
          <t>Total</t>
        </is>
      </c>
      <c r="D26" s="10" t="inlineStr">
        <is>
          <t>Varón</t>
        </is>
      </c>
      <c r="E26" s="10" t="inlineStr">
        <is>
          <t>Mujer</t>
        </is>
      </c>
      <c r="F26" s="10" t="inlineStr">
        <is>
          <t>n</t>
        </is>
      </c>
      <c r="G26" s="6" t="n"/>
    </row>
    <row r="27">
      <c r="B27" s="11" t="inlineStr">
        <is>
          <t>Edad (años)</t>
        </is>
      </c>
      <c r="C27" s="18">
        <f>IFERROR(AVERAGE(Datos!$E$2:$E$3000),"")</f>
        <v/>
      </c>
      <c r="D27" s="18">
        <f>IFERROR(AVERAGEIFS(Datos!$E$2:$E$3000,Datos!$BX$2:$BX$3000,"Varón"),"")</f>
        <v/>
      </c>
      <c r="E27" s="18">
        <f>IFERROR(AVERAGEIFS(Datos!$E$2:$E$3000,Datos!$BX$2:$BX$3000,"Mujer"),"")</f>
        <v/>
      </c>
      <c r="F27" s="11">
        <f>COUNT(Datos!$E$2:$E$3000)</f>
        <v/>
      </c>
      <c r="G27" s="6" t="n"/>
    </row>
    <row r="28">
      <c r="B28" s="11" t="inlineStr">
        <is>
          <t>IMC (kg/m²)</t>
        </is>
      </c>
      <c r="C28" s="18">
        <f>IFERROR(AVERAGE(Datos!$CA$2:$CA$3000),"")</f>
        <v/>
      </c>
      <c r="D28" s="18">
        <f>IFERROR(AVERAGEIFS(Datos!$CA$2:$CA$3000,Datos!$BX$2:$BX$3000,"Varón"),"")</f>
        <v/>
      </c>
      <c r="E28" s="18">
        <f>IFERROR(AVERAGEIFS(Datos!$CA$2:$CA$3000,Datos!$BX$2:$BX$3000,"Mujer"),"")</f>
        <v/>
      </c>
      <c r="F28" s="11">
        <f>COUNT(Datos!$CA$2:$CA$3000)</f>
        <v/>
      </c>
      <c r="G28" s="6" t="n"/>
    </row>
    <row r="29">
      <c r="B29" s="11" t="inlineStr">
        <is>
          <t>Perímetro abdominal (cm)</t>
        </is>
      </c>
      <c r="C29" s="18">
        <f>IFERROR(AVERAGE(Datos!$CB$2:$CB$3000),"")</f>
        <v/>
      </c>
      <c r="D29" s="18">
        <f>IFERROR(AVERAGEIFS(Datos!$CB$2:$CB$3000,Datos!$BX$2:$BX$3000,"Varón"),"")</f>
        <v/>
      </c>
      <c r="E29" s="18">
        <f>IFERROR(AVERAGEIFS(Datos!$CB$2:$CB$3000,Datos!$BX$2:$BX$3000,"Mujer"),"")</f>
        <v/>
      </c>
      <c r="F29" s="11">
        <f>COUNT(Datos!$CB$2:$CB$3000)</f>
        <v/>
      </c>
      <c r="G29" s="6" t="n"/>
    </row>
    <row r="30">
      <c r="B30" s="11" t="inlineStr">
        <is>
          <t>Presión sistólica (mmHg)</t>
        </is>
      </c>
      <c r="C30" s="18">
        <f>IFERROR(AVERAGE(Datos!$CC$2:$CC$3000),"")</f>
        <v/>
      </c>
      <c r="D30" s="18">
        <f>IFERROR(AVERAGEIFS(Datos!$CC$2:$CC$3000,Datos!$BX$2:$BX$3000,"Varón"),"")</f>
        <v/>
      </c>
      <c r="E30" s="18">
        <f>IFERROR(AVERAGEIFS(Datos!$CC$2:$CC$3000,Datos!$BX$2:$BX$3000,"Mujer"),"")</f>
        <v/>
      </c>
      <c r="F30" s="11">
        <f>COUNT(Datos!$CC$2:$CC$3000)</f>
        <v/>
      </c>
      <c r="G30" s="6" t="n"/>
    </row>
    <row r="31">
      <c r="B31" s="11" t="inlineStr">
        <is>
          <t>Glucemia periférica (mg/dL)</t>
        </is>
      </c>
      <c r="C31" s="18">
        <f>IFERROR(AVERAGE(Datos!$CP$2:$CP$3000),"")</f>
        <v/>
      </c>
      <c r="D31" s="18">
        <f>IFERROR(AVERAGEIFS(Datos!$CP$2:$CP$3000,Datos!$BX$2:$BX$3000,"Varón"),"")</f>
        <v/>
      </c>
      <c r="E31" s="18">
        <f>IFERROR(AVERAGEIFS(Datos!$CP$2:$CP$3000,Datos!$BX$2:$BX$3000,"Mujer"),"")</f>
        <v/>
      </c>
      <c r="F31" s="11">
        <f>COUNT(Datos!$CP$2:$CP$3000)</f>
        <v/>
      </c>
      <c r="G31" s="6" t="n"/>
    </row>
    <row r="32">
      <c r="B32" s="11" t="inlineStr">
        <is>
          <t>Años como chofer</t>
        </is>
      </c>
      <c r="C32" s="18">
        <f>IFERROR(AVERAGE(Datos!$AJ$2:$AJ$3000),"")</f>
        <v/>
      </c>
      <c r="D32" s="18">
        <f>IFERROR(AVERAGEIFS(Datos!$AJ$2:$AJ$3000,Datos!$BX$2:$BX$3000,"Varón"),"")</f>
        <v/>
      </c>
      <c r="E32" s="18">
        <f>IFERROR(AVERAGEIFS(Datos!$AJ$2:$AJ$3000,Datos!$BX$2:$BX$3000,"Mujer"),"")</f>
        <v/>
      </c>
      <c r="F32" s="11">
        <f>COUNT(Datos!$AJ$2:$AJ$3000)</f>
        <v/>
      </c>
      <c r="G32" s="6" t="n"/>
    </row>
    <row r="33">
      <c r="B33" s="11" t="inlineStr">
        <is>
          <t>Horas de conducción sin paradas</t>
        </is>
      </c>
      <c r="C33" s="18">
        <f>IFERROR(AVERAGE(Datos!$AT$2:$AT$3000),"")</f>
        <v/>
      </c>
      <c r="D33" s="18">
        <f>IFERROR(AVERAGEIFS(Datos!$AT$2:$AT$3000,Datos!$BX$2:$BX$3000,"Varón"),"")</f>
        <v/>
      </c>
      <c r="E33" s="18">
        <f>IFERROR(AVERAGEIFS(Datos!$AT$2:$AT$3000,Datos!$BX$2:$BX$3000,"Mujer"),"")</f>
        <v/>
      </c>
      <c r="F33" s="11">
        <f>COUNT(Datos!$AT$2:$AT$3000)</f>
        <v/>
      </c>
      <c r="G33" s="6" t="n"/>
    </row>
    <row r="34">
      <c r="B34" s="11" t="inlineStr">
        <is>
          <t>Horas de sueño por día</t>
        </is>
      </c>
      <c r="C34" s="18">
        <f>IFERROR(AVERAGE(Datos!$AX$2:$AX$3000),"")</f>
        <v/>
      </c>
      <c r="D34" s="18">
        <f>IFERROR(AVERAGEIFS(Datos!$AX$2:$AX$3000,Datos!$BX$2:$BX$3000,"Varón"),"")</f>
        <v/>
      </c>
      <c r="E34" s="18">
        <f>IFERROR(AVERAGEIFS(Datos!$AX$2:$AX$3000,Datos!$BX$2:$BX$3000,"Mujer"),"")</f>
        <v/>
      </c>
      <c r="F34" s="11">
        <f>COUNT(Datos!$AX$2:$AX$3000)</f>
        <v/>
      </c>
      <c r="G34" s="6" t="n"/>
    </row>
    <row r="35">
      <c r="B35" s="6" t="n"/>
      <c r="C35" s="6" t="n"/>
      <c r="D35" s="6" t="n"/>
      <c r="E35" s="6" t="n"/>
      <c r="F35" s="6" t="n"/>
      <c r="G35" s="6" t="n"/>
    </row>
    <row r="36">
      <c r="B36" s="8" t="inlineStr">
        <is>
          <t>Riesgo de diabetes a 10 años (FINDRISK)</t>
        </is>
      </c>
      <c r="C36" s="6" t="n"/>
      <c r="D36" s="6" t="n"/>
      <c r="E36" s="6" t="n"/>
      <c r="F36" s="6" t="n"/>
      <c r="G36" s="6" t="n"/>
    </row>
    <row r="37">
      <c r="B37" s="14" t="inlineStr">
        <is>
          <t>Solo personas sin diagnóstico de diabetes y con sexo mujer o varón.</t>
        </is>
      </c>
      <c r="C37" s="6" t="n"/>
      <c r="D37" s="6" t="n"/>
      <c r="E37" s="6" t="n"/>
      <c r="F37" s="6" t="n"/>
      <c r="G37" s="6" t="n"/>
    </row>
    <row r="38">
      <c r="B38" s="9" t="inlineStr">
        <is>
          <t>Categoría</t>
        </is>
      </c>
      <c r="C38" s="10" t="inlineStr">
        <is>
          <t>n</t>
        </is>
      </c>
      <c r="D38" s="10" t="inlineStr">
        <is>
          <t>%</t>
        </is>
      </c>
      <c r="E38" s="10" t="inlineStr">
        <is>
          <t>Varón (n)</t>
        </is>
      </c>
      <c r="F38" s="10" t="inlineStr">
        <is>
          <t>Mujer (n)</t>
        </is>
      </c>
      <c r="G38" s="6" t="n"/>
    </row>
    <row r="39">
      <c r="B39" s="11" t="inlineStr">
        <is>
          <t>Bajo</t>
        </is>
      </c>
      <c r="C39" s="11">
        <f>COUNTIF(Datos!$CT$2:$CT$3000,"Bajo")</f>
        <v/>
      </c>
      <c r="D39" s="19">
        <f>IF($C$44=0,"",C39/$C$44)</f>
        <v/>
      </c>
      <c r="E39" s="11">
        <f>COUNTIFS(Datos!$CT$2:$CT$3000,"Bajo",Datos!$BX$2:$BX$3000,"Varón")</f>
        <v/>
      </c>
      <c r="F39" s="11">
        <f>COUNTIFS(Datos!$CT$2:$CT$3000,"Bajo",Datos!$BX$2:$BX$3000,"Mujer")</f>
        <v/>
      </c>
      <c r="G39" s="6" t="n"/>
    </row>
    <row r="40">
      <c r="B40" s="11" t="inlineStr">
        <is>
          <t>Ligeramente elevado</t>
        </is>
      </c>
      <c r="C40" s="11">
        <f>COUNTIF(Datos!$CT$2:$CT$3000,"Ligeramente elevado")</f>
        <v/>
      </c>
      <c r="D40" s="19">
        <f>IF($C$44=0,"",C40/$C$44)</f>
        <v/>
      </c>
      <c r="E40" s="11">
        <f>COUNTIFS(Datos!$CT$2:$CT$3000,"Ligeramente elevado",Datos!$BX$2:$BX$3000,"Varón")</f>
        <v/>
      </c>
      <c r="F40" s="11">
        <f>COUNTIFS(Datos!$CT$2:$CT$3000,"Ligeramente elevado",Datos!$BX$2:$BX$3000,"Mujer")</f>
        <v/>
      </c>
      <c r="G40" s="6" t="n"/>
    </row>
    <row r="41">
      <c r="B41" s="11" t="inlineStr">
        <is>
          <t>Moderado</t>
        </is>
      </c>
      <c r="C41" s="11">
        <f>COUNTIF(Datos!$CT$2:$CT$3000,"Moderado")</f>
        <v/>
      </c>
      <c r="D41" s="19">
        <f>IF($C$44=0,"",C41/$C$44)</f>
        <v/>
      </c>
      <c r="E41" s="11">
        <f>COUNTIFS(Datos!$CT$2:$CT$3000,"Moderado",Datos!$BX$2:$BX$3000,"Varón")</f>
        <v/>
      </c>
      <c r="F41" s="11">
        <f>COUNTIFS(Datos!$CT$2:$CT$3000,"Moderado",Datos!$BX$2:$BX$3000,"Mujer")</f>
        <v/>
      </c>
      <c r="G41" s="6" t="n"/>
    </row>
    <row r="42">
      <c r="B42" s="11" t="inlineStr">
        <is>
          <t>Alto</t>
        </is>
      </c>
      <c r="C42" s="11">
        <f>COUNTIF(Datos!$CT$2:$CT$3000,"Alto")</f>
        <v/>
      </c>
      <c r="D42" s="19">
        <f>IF($C$44=0,"",C42/$C$44)</f>
        <v/>
      </c>
      <c r="E42" s="11">
        <f>COUNTIFS(Datos!$CT$2:$CT$3000,"Alto",Datos!$BX$2:$BX$3000,"Varón")</f>
        <v/>
      </c>
      <c r="F42" s="11">
        <f>COUNTIFS(Datos!$CT$2:$CT$3000,"Alto",Datos!$BX$2:$BX$3000,"Mujer")</f>
        <v/>
      </c>
      <c r="G42" s="6" t="n"/>
    </row>
    <row r="43">
      <c r="B43" s="11" t="inlineStr">
        <is>
          <t>Muy alto</t>
        </is>
      </c>
      <c r="C43" s="11">
        <f>COUNTIF(Datos!$CT$2:$CT$3000,"Muy alto")</f>
        <v/>
      </c>
      <c r="D43" s="19">
        <f>IF($C$44=0,"",C43/$C$44)</f>
        <v/>
      </c>
      <c r="E43" s="11">
        <f>COUNTIFS(Datos!$CT$2:$CT$3000,"Muy alto",Datos!$BX$2:$BX$3000,"Varón")</f>
        <v/>
      </c>
      <c r="F43" s="11">
        <f>COUNTIFS(Datos!$CT$2:$CT$3000,"Muy alto",Datos!$BX$2:$BX$3000,"Mujer")</f>
        <v/>
      </c>
      <c r="G43" s="6" t="n"/>
    </row>
    <row r="44">
      <c r="B44" s="20" t="inlineStr">
        <is>
          <t>Respondieron</t>
        </is>
      </c>
      <c r="C44" s="20">
        <f>COUNTA(Datos!$CT$2:$CT$3000)</f>
        <v/>
      </c>
      <c r="D44" s="21" t="n"/>
      <c r="E44" s="20">
        <f>SUM(E39:E43)</f>
        <v/>
      </c>
      <c r="F44" s="20">
        <f>SUM(F39:F43)</f>
        <v/>
      </c>
      <c r="G44" s="6" t="n"/>
    </row>
    <row r="45">
      <c r="B45" s="6" t="n"/>
      <c r="C45" s="6" t="n"/>
      <c r="D45" s="6" t="n"/>
      <c r="E45" s="6" t="n"/>
      <c r="F45" s="6" t="n"/>
      <c r="G45" s="6" t="n"/>
    </row>
    <row r="46">
      <c r="B46" s="6" t="n"/>
      <c r="C46" s="6" t="n"/>
      <c r="D46" s="6" t="n"/>
      <c r="E46" s="6" t="n"/>
      <c r="F46" s="6" t="n"/>
      <c r="G46" s="6" t="n"/>
    </row>
    <row r="47">
      <c r="B47" s="6" t="n"/>
      <c r="C47" s="6" t="n"/>
      <c r="D47" s="6" t="n"/>
      <c r="E47" s="6" t="n"/>
      <c r="F47" s="6" t="n"/>
      <c r="G47" s="6" t="n"/>
    </row>
    <row r="48">
      <c r="B48" s="6" t="n"/>
      <c r="C48" s="6" t="n"/>
      <c r="D48" s="6" t="n"/>
      <c r="E48" s="6" t="n"/>
      <c r="F48" s="6" t="n"/>
      <c r="G48" s="6" t="n"/>
    </row>
    <row r="49">
      <c r="B49" s="6" t="n"/>
      <c r="C49" s="6" t="n"/>
      <c r="D49" s="6" t="n"/>
      <c r="E49" s="6" t="n"/>
      <c r="F49" s="6" t="n"/>
      <c r="G49" s="6" t="n"/>
    </row>
    <row r="50">
      <c r="B50" s="8" t="inlineStr">
        <is>
          <t>Riesgo cardiovascular a 10 años (Framingham con IMC)</t>
        </is>
      </c>
      <c r="C50" s="6" t="n"/>
      <c r="D50" s="6" t="n"/>
      <c r="E50" s="6" t="n"/>
      <c r="F50" s="6" t="n"/>
      <c r="G50" s="6" t="n"/>
    </row>
    <row r="51">
      <c r="B51" s="14" t="inlineStr">
        <is>
          <t>Bajo: menos de 10 %. Moderado: 10 a 19 %. Alto: 20 % o más. Edades de 20 a 79 años.</t>
        </is>
      </c>
      <c r="C51" s="6" t="n"/>
      <c r="D51" s="6" t="n"/>
      <c r="E51" s="6" t="n"/>
      <c r="F51" s="6" t="n"/>
      <c r="G51" s="6" t="n"/>
    </row>
    <row r="52">
      <c r="B52" s="9" t="inlineStr">
        <is>
          <t>Categoría</t>
        </is>
      </c>
      <c r="C52" s="10" t="inlineStr">
        <is>
          <t>n</t>
        </is>
      </c>
      <c r="D52" s="10" t="inlineStr">
        <is>
          <t>%</t>
        </is>
      </c>
      <c r="E52" s="10" t="inlineStr">
        <is>
          <t>Varón (n)</t>
        </is>
      </c>
      <c r="F52" s="10" t="inlineStr">
        <is>
          <t>Mujer (n)</t>
        </is>
      </c>
      <c r="G52" s="6" t="n"/>
    </row>
    <row r="53">
      <c r="B53" s="11" t="inlineStr">
        <is>
          <t>Bajo</t>
        </is>
      </c>
      <c r="C53" s="11">
        <f>COUNTIF(Datos!$CY$2:$CY$3000,"Bajo")</f>
        <v/>
      </c>
      <c r="D53" s="19">
        <f>IF($C$56=0,"",C53/$C$56)</f>
        <v/>
      </c>
      <c r="E53" s="11">
        <f>COUNTIFS(Datos!$CY$2:$CY$3000,"Bajo",Datos!$BX$2:$BX$3000,"Varón")</f>
        <v/>
      </c>
      <c r="F53" s="11">
        <f>COUNTIFS(Datos!$CY$2:$CY$3000,"Bajo",Datos!$BX$2:$BX$3000,"Mujer")</f>
        <v/>
      </c>
      <c r="G53" s="6" t="n"/>
    </row>
    <row r="54">
      <c r="B54" s="11" t="inlineStr">
        <is>
          <t>Moderado</t>
        </is>
      </c>
      <c r="C54" s="11">
        <f>COUNTIF(Datos!$CY$2:$CY$3000,"Moderado")</f>
        <v/>
      </c>
      <c r="D54" s="19">
        <f>IF($C$56=0,"",C54/$C$56)</f>
        <v/>
      </c>
      <c r="E54" s="11">
        <f>COUNTIFS(Datos!$CY$2:$CY$3000,"Moderado",Datos!$BX$2:$BX$3000,"Varón")</f>
        <v/>
      </c>
      <c r="F54" s="11">
        <f>COUNTIFS(Datos!$CY$2:$CY$3000,"Moderado",Datos!$BX$2:$BX$3000,"Mujer")</f>
        <v/>
      </c>
      <c r="G54" s="6" t="n"/>
    </row>
    <row r="55">
      <c r="B55" s="11" t="inlineStr">
        <is>
          <t>Alto</t>
        </is>
      </c>
      <c r="C55" s="11">
        <f>COUNTIF(Datos!$CY$2:$CY$3000,"Alto")</f>
        <v/>
      </c>
      <c r="D55" s="19">
        <f>IF($C$56=0,"",C55/$C$56)</f>
        <v/>
      </c>
      <c r="E55" s="11">
        <f>COUNTIFS(Datos!$CY$2:$CY$3000,"Alto",Datos!$BX$2:$BX$3000,"Varón")</f>
        <v/>
      </c>
      <c r="F55" s="11">
        <f>COUNTIFS(Datos!$CY$2:$CY$3000,"Alto",Datos!$BX$2:$BX$3000,"Mujer")</f>
        <v/>
      </c>
      <c r="G55" s="6" t="n"/>
    </row>
    <row r="56">
      <c r="B56" s="20" t="inlineStr">
        <is>
          <t>Respondieron</t>
        </is>
      </c>
      <c r="C56" s="20">
        <f>COUNTA(Datos!$CY$2:$CY$3000)</f>
        <v/>
      </c>
      <c r="D56" s="21" t="n"/>
      <c r="E56" s="20">
        <f>SUM(E53:E55)</f>
        <v/>
      </c>
      <c r="F56" s="20">
        <f>SUM(F53:F55)</f>
        <v/>
      </c>
      <c r="G56" s="6" t="n"/>
    </row>
    <row r="57">
      <c r="B57" s="6" t="n"/>
      <c r="C57" s="6" t="n"/>
      <c r="D57" s="6" t="n"/>
      <c r="E57" s="6" t="n"/>
      <c r="F57" s="6" t="n"/>
      <c r="G57" s="6" t="n"/>
    </row>
    <row r="58">
      <c r="B58" s="6" t="n"/>
      <c r="C58" s="6" t="n"/>
      <c r="D58" s="6" t="n"/>
      <c r="E58" s="6" t="n"/>
      <c r="F58" s="6" t="n"/>
      <c r="G58" s="6" t="n"/>
    </row>
    <row r="59">
      <c r="B59" s="6" t="n"/>
      <c r="C59" s="6" t="n"/>
      <c r="D59" s="6" t="n"/>
      <c r="E59" s="6" t="n"/>
      <c r="F59" s="6" t="n"/>
      <c r="G59" s="6" t="n"/>
    </row>
    <row r="60">
      <c r="B60" s="6" t="n"/>
      <c r="C60" s="6" t="n"/>
      <c r="D60" s="6" t="n"/>
      <c r="E60" s="6" t="n"/>
      <c r="F60" s="6" t="n"/>
      <c r="G60" s="6" t="n"/>
    </row>
    <row r="61">
      <c r="B61" s="6" t="n"/>
      <c r="C61" s="6" t="n"/>
      <c r="D61" s="6" t="n"/>
      <c r="E61" s="6" t="n"/>
      <c r="F61" s="6" t="n"/>
      <c r="G61" s="6" t="n"/>
    </row>
    <row r="62">
      <c r="B62" s="6" t="n"/>
      <c r="C62" s="6" t="n"/>
      <c r="D62" s="6" t="n"/>
      <c r="E62" s="6" t="n"/>
      <c r="F62" s="6" t="n"/>
      <c r="G62" s="6" t="n"/>
    </row>
    <row r="63">
      <c r="B63" s="6" t="n"/>
      <c r="C63" s="6" t="n"/>
      <c r="D63" s="6" t="n"/>
      <c r="E63" s="6" t="n"/>
      <c r="F63" s="6" t="n"/>
      <c r="G63" s="6" t="n"/>
    </row>
    <row r="64">
      <c r="B64" s="8" t="inlineStr">
        <is>
          <t>Estado nutricional según IMC</t>
        </is>
      </c>
      <c r="C64" s="6" t="n"/>
      <c r="D64" s="6" t="n"/>
      <c r="E64" s="6" t="n"/>
      <c r="F64" s="6" t="n"/>
      <c r="G64" s="6" t="n"/>
    </row>
    <row r="65">
      <c r="B65" s="14" t="inlineStr">
        <is>
          <t>Cortes de la OMS para adultos: &lt;18,5 bajo peso; 18,5–24,9 normal; 25–29,9 sobrepeso; ≥30 obesidad.</t>
        </is>
      </c>
      <c r="C65" s="6" t="n"/>
      <c r="D65" s="6" t="n"/>
      <c r="E65" s="6" t="n"/>
      <c r="F65" s="6" t="n"/>
      <c r="G65" s="6" t="n"/>
    </row>
    <row r="66">
      <c r="B66" s="9" t="inlineStr">
        <is>
          <t>Categoría</t>
        </is>
      </c>
      <c r="C66" s="10" t="inlineStr">
        <is>
          <t>n</t>
        </is>
      </c>
      <c r="D66" s="10" t="inlineStr">
        <is>
          <t>%</t>
        </is>
      </c>
      <c r="E66" s="6" t="n"/>
      <c r="F66" s="6" t="n"/>
      <c r="G66" s="6" t="n"/>
    </row>
    <row r="67">
      <c r="B67" s="11" t="inlineStr">
        <is>
          <t>Bajo peso</t>
        </is>
      </c>
      <c r="C67" s="11">
        <f>COUNTIFS(Datos!$CA$2:$CA$3000,"&lt;18.5")</f>
        <v/>
      </c>
      <c r="D67" s="22">
        <f>IF($C$71=0,"",C67/$C$71)</f>
        <v/>
      </c>
      <c r="E67" s="6" t="n"/>
      <c r="F67" s="6" t="n"/>
      <c r="G67" s="6" t="n"/>
    </row>
    <row r="68">
      <c r="B68" s="11" t="inlineStr">
        <is>
          <t>Normal</t>
        </is>
      </c>
      <c r="C68" s="11">
        <f>COUNTIFS(Datos!$CA$2:$CA$3000,"&gt;=18.5",Datos!$CA$2:$CA$3000,"&lt;25")</f>
        <v/>
      </c>
      <c r="D68" s="22">
        <f>IF($C$71=0,"",C68/$C$71)</f>
        <v/>
      </c>
      <c r="E68" s="6" t="n"/>
      <c r="F68" s="6" t="n"/>
      <c r="G68" s="6" t="n"/>
    </row>
    <row r="69">
      <c r="B69" s="11" t="inlineStr">
        <is>
          <t>Sobrepeso</t>
        </is>
      </c>
      <c r="C69" s="11">
        <f>COUNTIFS(Datos!$CA$2:$CA$3000,"&gt;=25",Datos!$CA$2:$CA$3000,"&lt;30")</f>
        <v/>
      </c>
      <c r="D69" s="22">
        <f>IF($C$71=0,"",C69/$C$71)</f>
        <v/>
      </c>
      <c r="E69" s="6" t="n"/>
      <c r="F69" s="6" t="n"/>
      <c r="G69" s="6" t="n"/>
    </row>
    <row r="70">
      <c r="B70" s="11" t="inlineStr">
        <is>
          <t>Obesidad</t>
        </is>
      </c>
      <c r="C70" s="11">
        <f>COUNTIFS(Datos!$CA$2:$CA$3000,"&gt;=30")</f>
        <v/>
      </c>
      <c r="D70" s="22">
        <f>IF($C$71=0,"",C70/$C$71)</f>
        <v/>
      </c>
      <c r="E70" s="6" t="n"/>
      <c r="F70" s="6" t="n"/>
      <c r="G70" s="6" t="n"/>
    </row>
    <row r="71">
      <c r="B71" s="20" t="inlineStr">
        <is>
          <t>Con IMC registrado</t>
        </is>
      </c>
      <c r="C71" s="20">
        <f>COUNT(Datos!$CA$2:$CA$3000)</f>
        <v/>
      </c>
      <c r="D71" s="21" t="n"/>
      <c r="E71" s="6" t="n"/>
      <c r="F71" s="6" t="n"/>
      <c r="G71" s="6" t="n"/>
    </row>
    <row r="72">
      <c r="B72" s="6" t="n"/>
      <c r="C72" s="6" t="n"/>
      <c r="D72" s="6" t="n"/>
      <c r="E72" s="6" t="n"/>
      <c r="F72" s="6" t="n"/>
      <c r="G72" s="6" t="n"/>
    </row>
    <row r="73">
      <c r="B73" s="6" t="n"/>
      <c r="C73" s="6" t="n"/>
      <c r="D73" s="6" t="n"/>
      <c r="E73" s="6" t="n"/>
      <c r="F73" s="6" t="n"/>
      <c r="G73" s="6" t="n"/>
    </row>
    <row r="74">
      <c r="B74" s="6" t="n"/>
      <c r="C74" s="6" t="n"/>
      <c r="D74" s="6" t="n"/>
      <c r="E74" s="6" t="n"/>
      <c r="F74" s="6" t="n"/>
      <c r="G74" s="6" t="n"/>
    </row>
    <row r="75">
      <c r="B75" s="6" t="n"/>
      <c r="C75" s="6" t="n"/>
      <c r="D75" s="6" t="n"/>
      <c r="E75" s="6" t="n"/>
      <c r="F75" s="6" t="n"/>
      <c r="G75" s="6" t="n"/>
    </row>
    <row r="76">
      <c r="B76" s="6" t="n"/>
      <c r="C76" s="6" t="n"/>
      <c r="D76" s="6" t="n"/>
      <c r="E76" s="6" t="n"/>
      <c r="F76" s="6" t="n"/>
      <c r="G76" s="6" t="n"/>
    </row>
    <row r="77">
      <c r="B77" s="6" t="n"/>
      <c r="C77" s="6" t="n"/>
      <c r="D77" s="6" t="n"/>
      <c r="E77" s="6" t="n"/>
      <c r="F77" s="6" t="n"/>
      <c r="G77" s="6" t="n"/>
    </row>
    <row r="78">
      <c r="B78" s="8" t="inlineStr">
        <is>
          <t>Prevalencias (respuesta «Sí»)</t>
        </is>
      </c>
      <c r="C78" s="6" t="n"/>
      <c r="D78" s="6" t="n"/>
      <c r="E78" s="6" t="n"/>
      <c r="F78" s="6" t="n"/>
      <c r="G78" s="6" t="n"/>
    </row>
    <row r="79">
      <c r="B79" s="9" t="inlineStr">
        <is>
          <t>Indicador</t>
        </is>
      </c>
      <c r="C79" s="10" t="inlineStr">
        <is>
          <t>Sí (n)</t>
        </is>
      </c>
      <c r="D79" s="10" t="inlineStr">
        <is>
          <t>Respondieron</t>
        </is>
      </c>
      <c r="E79" s="10" t="inlineStr">
        <is>
          <t>%</t>
        </is>
      </c>
      <c r="F79" s="6" t="n"/>
      <c r="G79" s="6" t="n"/>
    </row>
    <row r="80">
      <c r="B80" s="11" t="inlineStr">
        <is>
          <t>Fuma tabaco</t>
        </is>
      </c>
      <c r="C80" s="11">
        <f>COUNTIF(Datos!$CK$2:$CK$3000,"Sí")</f>
        <v/>
      </c>
      <c r="D80" s="11">
        <f>COUNTA(Datos!$CK$2:$CK$3000)</f>
        <v/>
      </c>
      <c r="E80" s="19">
        <f>IF(D80=0,"",C80/D80)</f>
        <v/>
      </c>
      <c r="F80" s="6" t="n"/>
      <c r="G80" s="6" t="n"/>
    </row>
    <row r="81">
      <c r="B81" s="11" t="inlineStr">
        <is>
          <t>Coquea</t>
        </is>
      </c>
      <c r="C81" s="11">
        <f>COUNTIF(Datos!$BS$2:$BS$3000,"Sí")</f>
        <v/>
      </c>
      <c r="D81" s="11">
        <f>COUNTA(Datos!$BS$2:$BS$3000)</f>
        <v/>
      </c>
      <c r="E81" s="19">
        <f>IF(D81=0,"",C81/D81)</f>
        <v/>
      </c>
      <c r="F81" s="6" t="n"/>
      <c r="G81" s="6" t="n"/>
    </row>
    <row r="82">
      <c r="B82" s="11" t="inlineStr">
        <is>
          <t>Consume alcohol (fuera del trabajo)</t>
        </is>
      </c>
      <c r="C82" s="11">
        <f>COUNTIF(Datos!$BT$2:$BT$3000,"Sí")</f>
        <v/>
      </c>
      <c r="D82" s="11">
        <f>COUNTA(Datos!$BT$2:$BT$3000)</f>
        <v/>
      </c>
      <c r="E82" s="19">
        <f>IF(D82=0,"",C82/D82)</f>
        <v/>
      </c>
      <c r="F82" s="6" t="n"/>
      <c r="G82" s="6" t="n"/>
    </row>
    <row r="83">
      <c r="B83" s="11" t="inlineStr">
        <is>
          <t>Diagnóstico de hipertensión</t>
        </is>
      </c>
      <c r="C83" s="11">
        <f>COUNTIF(Datos!$CG$2:$CG$3000,"Sí")</f>
        <v/>
      </c>
      <c r="D83" s="11">
        <f>COUNTA(Datos!$CG$2:$CG$3000)</f>
        <v/>
      </c>
      <c r="E83" s="19">
        <f>IF(D83=0,"",C83/D83)</f>
        <v/>
      </c>
      <c r="F83" s="6" t="n"/>
      <c r="G83" s="6" t="n"/>
    </row>
    <row r="84">
      <c r="B84" s="11" t="inlineStr">
        <is>
          <t>Diagnóstico de diabetes</t>
        </is>
      </c>
      <c r="C84" s="11">
        <f>COUNTIF(Datos!$BW$2:$BW$3000,"Sí")</f>
        <v/>
      </c>
      <c r="D84" s="11">
        <f>COUNTA(Datos!$BW$2:$BW$3000)</f>
        <v/>
      </c>
      <c r="E84" s="19">
        <f>IF(D84=0,"",C84/D84)</f>
        <v/>
      </c>
      <c r="F84" s="6" t="n"/>
      <c r="G84" s="6" t="n"/>
    </row>
    <row r="85">
      <c r="B85" s="11" t="inlineStr">
        <is>
          <t>Glucosa elevada alguna vez</t>
        </is>
      </c>
      <c r="C85" s="11">
        <f>COUNTIF(Datos!$CI$2:$CI$3000,"Sí")</f>
        <v/>
      </c>
      <c r="D85" s="11">
        <f>COUNTA(Datos!$CI$2:$CI$3000)</f>
        <v/>
      </c>
      <c r="E85" s="19">
        <f>IF(D85=0,"",C85/D85)</f>
        <v/>
      </c>
      <c r="F85" s="6" t="n"/>
      <c r="G85" s="6" t="n"/>
    </row>
    <row r="86">
      <c r="B86" s="11" t="inlineStr">
        <is>
          <t>Dolores corporales frecuentes</t>
        </is>
      </c>
      <c r="C86" s="11">
        <f>COUNTIF(Datos!$BJ$2:$BJ$3000,"Sí")</f>
        <v/>
      </c>
      <c r="D86" s="11">
        <f>COUNTA(Datos!$BJ$2:$BJ$3000)</f>
        <v/>
      </c>
      <c r="E86" s="19">
        <f>IF(D86=0,"",C86/D86)</f>
        <v/>
      </c>
      <c r="F86" s="6" t="n"/>
      <c r="G86" s="6" t="n"/>
    </row>
    <row r="87">
      <c r="B87" s="11" t="inlineStr">
        <is>
          <t>Siniestro vial en el último año</t>
        </is>
      </c>
      <c r="C87" s="11">
        <f>COUNTIF(Datos!$BD$2:$BD$3000,"Sí")</f>
        <v/>
      </c>
      <c r="D87" s="11">
        <f>COUNTA(Datos!$BD$2:$BD$3000)</f>
        <v/>
      </c>
      <c r="E87" s="19">
        <f>IF(D87=0,"",C87/D87)</f>
        <v/>
      </c>
      <c r="F87" s="6" t="n"/>
      <c r="G87" s="6" t="n"/>
    </row>
    <row r="88">
      <c r="B88" s="11" t="inlineStr">
        <is>
          <t>Cree que su trabajo es un riesgo para su salud</t>
        </is>
      </c>
      <c r="C88" s="11">
        <f>COUNTIF(Datos!$AS$2:$AS$3000,"Sí")</f>
        <v/>
      </c>
      <c r="D88" s="11">
        <f>COUNTA(Datos!$AS$2:$AS$3000)</f>
        <v/>
      </c>
      <c r="E88" s="19">
        <f>IF(D88=0,"",C88/D88)</f>
        <v/>
      </c>
      <c r="F88" s="6" t="n"/>
      <c r="G88" s="6" t="n"/>
    </row>
    <row r="89">
      <c r="B89" s="11" t="inlineStr">
        <is>
          <t>Actividad física diaria (≥30 min)</t>
        </is>
      </c>
      <c r="C89" s="11">
        <f>COUNTIF(Datos!$CE$2:$CE$3000,"Sí")</f>
        <v/>
      </c>
      <c r="D89" s="11">
        <f>COUNTA(Datos!$CE$2:$CE$3000)</f>
        <v/>
      </c>
      <c r="E89" s="19">
        <f>IF(D89=0,"",C89/D89)</f>
        <v/>
      </c>
      <c r="F89" s="6" t="n"/>
      <c r="G89" s="6" t="n"/>
    </row>
    <row r="90">
      <c r="B90" s="11" t="inlineStr">
        <is>
          <t>Frutas o verduras todos los días</t>
        </is>
      </c>
      <c r="C90" s="11">
        <f>COUNTIF(Datos!$CF$2:$CF$3000,"Sí")</f>
        <v/>
      </c>
      <c r="D90" s="11">
        <f>COUNTA(Datos!$CF$2:$CF$3000)</f>
        <v/>
      </c>
      <c r="E90" s="19">
        <f>IF(D90=0,"",C90/D90)</f>
        <v/>
      </c>
      <c r="F90" s="6" t="n"/>
      <c r="G90" s="6" t="n"/>
    </row>
    <row r="91">
      <c r="B91" s="6" t="n"/>
      <c r="C91" s="6" t="n"/>
      <c r="D91" s="6" t="n"/>
      <c r="E91" s="6" t="n"/>
      <c r="F91" s="6" t="n"/>
      <c r="G91" s="6" t="n"/>
    </row>
    <row r="92">
      <c r="B92" s="6" t="n"/>
      <c r="C92" s="6" t="n"/>
      <c r="D92" s="6" t="n"/>
      <c r="E92" s="6" t="n"/>
      <c r="F92" s="6" t="n"/>
      <c r="G92" s="6" t="n"/>
    </row>
    <row r="93">
      <c r="B93" s="6" t="n"/>
      <c r="C93" s="6" t="n"/>
      <c r="D93" s="6" t="n"/>
      <c r="E93" s="6" t="n"/>
      <c r="F93" s="6" t="n"/>
      <c r="G93" s="6" t="n"/>
    </row>
    <row r="94">
      <c r="B94" s="6" t="n"/>
      <c r="C94" s="6" t="n"/>
      <c r="D94" s="6" t="n"/>
      <c r="E94" s="6" t="n"/>
      <c r="F94" s="6" t="n"/>
      <c r="G94" s="6" t="n"/>
    </row>
    <row r="95">
      <c r="B95" s="6" t="n"/>
      <c r="C95" s="6" t="n"/>
      <c r="D95" s="6" t="n"/>
      <c r="E95" s="6" t="n"/>
      <c r="F95" s="6" t="n"/>
      <c r="G95" s="6" t="n"/>
    </row>
    <row r="96">
      <c r="B96" s="6" t="n"/>
      <c r="C96" s="6" t="n"/>
      <c r="D96" s="6" t="n"/>
      <c r="E96" s="6" t="n"/>
      <c r="F96" s="6" t="n"/>
      <c r="G96" s="6" t="n"/>
    </row>
    <row r="97">
      <c r="B97" s="6" t="n"/>
      <c r="C97" s="6" t="n"/>
      <c r="D97" s="6" t="n"/>
      <c r="E97" s="6" t="n"/>
      <c r="F97" s="6" t="n"/>
      <c r="G97" s="6" t="n"/>
    </row>
    <row r="98">
      <c r="B98" s="6" t="n"/>
      <c r="C98" s="6" t="n"/>
      <c r="D98" s="6" t="n"/>
      <c r="E98" s="6" t="n"/>
      <c r="F98" s="6" t="n"/>
      <c r="G98" s="6" t="n"/>
    </row>
    <row r="99">
      <c r="B99" s="6" t="n"/>
      <c r="C99" s="6" t="n"/>
      <c r="D99" s="6" t="n"/>
      <c r="E99" s="6" t="n"/>
      <c r="F99" s="6" t="n"/>
      <c r="G99" s="6" t="n"/>
    </row>
    <row r="100">
      <c r="B100" s="8" t="inlineStr">
        <is>
          <t>Lugar de nacimiento</t>
        </is>
      </c>
      <c r="C100" s="6" t="n"/>
      <c r="D100" s="6" t="n"/>
      <c r="E100" s="6" t="n"/>
      <c r="F100" s="6" t="n"/>
      <c r="G100" s="6" t="n"/>
    </row>
    <row r="101">
      <c r="B101" s="9" t="inlineStr">
        <is>
          <t>Categoría</t>
        </is>
      </c>
      <c r="C101" s="10" t="inlineStr">
        <is>
          <t>n</t>
        </is>
      </c>
      <c r="D101" s="10" t="inlineStr">
        <is>
          <t>%</t>
        </is>
      </c>
      <c r="E101" s="6" t="n"/>
      <c r="F101" s="6" t="n"/>
      <c r="G101" s="6" t="n"/>
    </row>
    <row r="102">
      <c r="B102" s="11" t="inlineStr">
        <is>
          <t>Argentina</t>
        </is>
      </c>
      <c r="C102" s="11">
        <f>COUNTIF(Datos!$W$2:$W$3000,"Argentina")</f>
        <v/>
      </c>
      <c r="D102" s="19">
        <f>IF($C$107=0,"",C102/$C$107)</f>
        <v/>
      </c>
      <c r="E102" s="6" t="n"/>
      <c r="F102" s="6" t="n"/>
      <c r="G102" s="6" t="n"/>
    </row>
    <row r="103">
      <c r="B103" s="11" t="inlineStr">
        <is>
          <t>Brasil</t>
        </is>
      </c>
      <c r="C103" s="11">
        <f>COUNTIF(Datos!$W$2:$W$3000,"Brasil")</f>
        <v/>
      </c>
      <c r="D103" s="19">
        <f>IF($C$107=0,"",C103/$C$107)</f>
        <v/>
      </c>
      <c r="E103" s="6" t="n"/>
      <c r="F103" s="6" t="n"/>
      <c r="G103" s="6" t="n"/>
    </row>
    <row r="104">
      <c r="B104" s="11" t="inlineStr">
        <is>
          <t>Chile</t>
        </is>
      </c>
      <c r="C104" s="11">
        <f>COUNTIF(Datos!$W$2:$W$3000,"Chile")</f>
        <v/>
      </c>
      <c r="D104" s="19">
        <f>IF($C$107=0,"",C104/$C$107)</f>
        <v/>
      </c>
      <c r="E104" s="6" t="n"/>
      <c r="F104" s="6" t="n"/>
      <c r="G104" s="6" t="n"/>
    </row>
    <row r="105">
      <c r="B105" s="11" t="inlineStr">
        <is>
          <t>Paraguay</t>
        </is>
      </c>
      <c r="C105" s="11">
        <f>COUNTIF(Datos!$W$2:$W$3000,"Paraguay")</f>
        <v/>
      </c>
      <c r="D105" s="19">
        <f>IF($C$107=0,"",C105/$C$107)</f>
        <v/>
      </c>
      <c r="E105" s="6" t="n"/>
      <c r="F105" s="6" t="n"/>
      <c r="G105" s="6" t="n"/>
    </row>
    <row r="106">
      <c r="B106" s="11" t="inlineStr">
        <is>
          <t>Otro país</t>
        </is>
      </c>
      <c r="C106" s="11">
        <f>COUNTIF(Datos!$W$2:$W$3000,"Otro país")</f>
        <v/>
      </c>
      <c r="D106" s="19">
        <f>IF($C$107=0,"",C106/$C$107)</f>
        <v/>
      </c>
      <c r="E106" s="6" t="n"/>
      <c r="F106" s="6" t="n"/>
      <c r="G106" s="6" t="n"/>
    </row>
    <row r="107">
      <c r="B107" s="20" t="inlineStr">
        <is>
          <t>Respondieron</t>
        </is>
      </c>
      <c r="C107" s="20">
        <f>COUNTA(Datos!$W$2:$W$3000)</f>
        <v/>
      </c>
      <c r="D107" s="21" t="n"/>
      <c r="E107" s="6" t="n"/>
      <c r="F107" s="6" t="n"/>
      <c r="G107" s="6" t="n"/>
    </row>
    <row r="108">
      <c r="B108" s="6" t="n"/>
      <c r="C108" s="6" t="n"/>
      <c r="D108" s="6" t="n"/>
      <c r="E108" s="6" t="n"/>
      <c r="F108" s="6" t="n"/>
      <c r="G108" s="6" t="n"/>
    </row>
    <row r="109">
      <c r="B109" s="6" t="n"/>
      <c r="C109" s="6" t="n"/>
      <c r="D109" s="6" t="n"/>
      <c r="E109" s="6" t="n"/>
      <c r="F109" s="6" t="n"/>
      <c r="G109" s="6" t="n"/>
    </row>
    <row r="110">
      <c r="B110" s="6" t="n"/>
      <c r="C110" s="6" t="n"/>
      <c r="D110" s="6" t="n"/>
      <c r="E110" s="6" t="n"/>
      <c r="F110" s="6" t="n"/>
      <c r="G110" s="6" t="n"/>
    </row>
    <row r="111">
      <c r="B111" s="6" t="n"/>
      <c r="C111" s="6" t="n"/>
      <c r="D111" s="6" t="n"/>
      <c r="E111" s="6" t="n"/>
      <c r="F111" s="6" t="n"/>
      <c r="G111" s="6" t="n"/>
    </row>
    <row r="112">
      <c r="B112" s="6" t="n"/>
      <c r="C112" s="6" t="n"/>
      <c r="D112" s="6" t="n"/>
      <c r="E112" s="6" t="n"/>
      <c r="F112" s="6" t="n"/>
      <c r="G112" s="6" t="n"/>
    </row>
    <row r="113">
      <c r="B113" s="6" t="n"/>
      <c r="C113" s="6" t="n"/>
      <c r="D113" s="6" t="n"/>
      <c r="E113" s="6" t="n"/>
      <c r="F113" s="6" t="n"/>
      <c r="G113" s="6" t="n"/>
    </row>
    <row r="114">
      <c r="B114" s="8" t="inlineStr">
        <is>
          <t>Máximo nivel educativo alcanzado</t>
        </is>
      </c>
      <c r="C114" s="6" t="n"/>
      <c r="D114" s="6" t="n"/>
      <c r="E114" s="6" t="n"/>
      <c r="F114" s="6" t="n"/>
      <c r="G114" s="6" t="n"/>
    </row>
    <row r="115">
      <c r="B115" s="9" t="inlineStr">
        <is>
          <t>Categoría</t>
        </is>
      </c>
      <c r="C115" s="10" t="inlineStr">
        <is>
          <t>n</t>
        </is>
      </c>
      <c r="D115" s="10" t="inlineStr">
        <is>
          <t>%</t>
        </is>
      </c>
      <c r="E115" s="6" t="n"/>
      <c r="F115" s="6" t="n"/>
      <c r="G115" s="6" t="n"/>
    </row>
    <row r="116">
      <c r="B116" s="11" t="inlineStr">
        <is>
          <t>Primaria completa</t>
        </is>
      </c>
      <c r="C116" s="11">
        <f>COUNTIF(Datos!$Y$2:$Y$3000,"Primaria completa")</f>
        <v/>
      </c>
      <c r="D116" s="19">
        <f>IF($C$123=0,"",C116/$C$123)</f>
        <v/>
      </c>
      <c r="E116" s="6" t="n"/>
      <c r="F116" s="6" t="n"/>
      <c r="G116" s="6" t="n"/>
    </row>
    <row r="117">
      <c r="B117" s="11" t="inlineStr">
        <is>
          <t>Secundaria incompleta</t>
        </is>
      </c>
      <c r="C117" s="11">
        <f>COUNTIF(Datos!$Y$2:$Y$3000,"Secundaria incompleta")</f>
        <v/>
      </c>
      <c r="D117" s="19">
        <f>IF($C$123=0,"",C117/$C$123)</f>
        <v/>
      </c>
      <c r="E117" s="6" t="n"/>
      <c r="F117" s="6" t="n"/>
      <c r="G117" s="6" t="n"/>
    </row>
    <row r="118">
      <c r="B118" s="11" t="inlineStr">
        <is>
          <t>Secundaria completa</t>
        </is>
      </c>
      <c r="C118" s="11">
        <f>COUNTIF(Datos!$Y$2:$Y$3000,"Secundaria completa")</f>
        <v/>
      </c>
      <c r="D118" s="19">
        <f>IF($C$123=0,"",C118/$C$123)</f>
        <v/>
      </c>
      <c r="E118" s="6" t="n"/>
      <c r="F118" s="6" t="n"/>
      <c r="G118" s="6" t="n"/>
    </row>
    <row r="119">
      <c r="B119" s="11" t="inlineStr">
        <is>
          <t>Terciario incompleto</t>
        </is>
      </c>
      <c r="C119" s="11">
        <f>COUNTIF(Datos!$Y$2:$Y$3000,"Terciario incompleto")</f>
        <v/>
      </c>
      <c r="D119" s="19">
        <f>IF($C$123=0,"",C119/$C$123)</f>
        <v/>
      </c>
      <c r="E119" s="6" t="n"/>
      <c r="F119" s="6" t="n"/>
      <c r="G119" s="6" t="n"/>
    </row>
    <row r="120">
      <c r="B120" s="11" t="inlineStr">
        <is>
          <t>Terciario completo</t>
        </is>
      </c>
      <c r="C120" s="11">
        <f>COUNTIF(Datos!$Y$2:$Y$3000,"Terciario completo")</f>
        <v/>
      </c>
      <c r="D120" s="19">
        <f>IF($C$123=0,"",C120/$C$123)</f>
        <v/>
      </c>
      <c r="E120" s="6" t="n"/>
      <c r="F120" s="6" t="n"/>
      <c r="G120" s="6" t="n"/>
    </row>
    <row r="121">
      <c r="B121" s="11" t="inlineStr">
        <is>
          <t>Universitario incompleto</t>
        </is>
      </c>
      <c r="C121" s="11">
        <f>COUNTIF(Datos!$Y$2:$Y$3000,"Universitario incompleto")</f>
        <v/>
      </c>
      <c r="D121" s="19">
        <f>IF($C$123=0,"",C121/$C$123)</f>
        <v/>
      </c>
      <c r="E121" s="6" t="n"/>
      <c r="F121" s="6" t="n"/>
      <c r="G121" s="6" t="n"/>
    </row>
    <row r="122">
      <c r="B122" s="11" t="inlineStr">
        <is>
          <t>Universitario completo</t>
        </is>
      </c>
      <c r="C122" s="11">
        <f>COUNTIF(Datos!$Y$2:$Y$3000,"Universitario completo")</f>
        <v/>
      </c>
      <c r="D122" s="19">
        <f>IF($C$123=0,"",C122/$C$123)</f>
        <v/>
      </c>
      <c r="E122" s="6" t="n"/>
      <c r="F122" s="6" t="n"/>
      <c r="G122" s="6" t="n"/>
    </row>
    <row r="123">
      <c r="B123" s="20" t="inlineStr">
        <is>
          <t>Respondieron</t>
        </is>
      </c>
      <c r="C123" s="20">
        <f>COUNTA(Datos!$Y$2:$Y$3000)</f>
        <v/>
      </c>
      <c r="D123" s="21" t="n"/>
      <c r="E123" s="6" t="n"/>
      <c r="F123" s="6" t="n"/>
      <c r="G123" s="6" t="n"/>
    </row>
    <row r="124">
      <c r="B124" s="6" t="n"/>
      <c r="C124" s="6" t="n"/>
      <c r="D124" s="6" t="n"/>
      <c r="E124" s="6" t="n"/>
      <c r="F124" s="6" t="n"/>
      <c r="G124" s="6" t="n"/>
    </row>
    <row r="125">
      <c r="B125" s="6" t="n"/>
      <c r="C125" s="6" t="n"/>
      <c r="D125" s="6" t="n"/>
      <c r="E125" s="6" t="n"/>
      <c r="F125" s="6" t="n"/>
      <c r="G125" s="6" t="n"/>
    </row>
    <row r="126">
      <c r="B126" s="6" t="n"/>
      <c r="C126" s="6" t="n"/>
      <c r="D126" s="6" t="n"/>
      <c r="E126" s="6" t="n"/>
      <c r="F126" s="6" t="n"/>
      <c r="G126" s="6" t="n"/>
    </row>
    <row r="127">
      <c r="B127" s="6" t="n"/>
      <c r="C127" s="6" t="n"/>
      <c r="D127" s="6" t="n"/>
      <c r="E127" s="6" t="n"/>
      <c r="F127" s="6" t="n"/>
      <c r="G127" s="6" t="n"/>
    </row>
    <row r="128">
      <c r="B128" s="6" t="n"/>
      <c r="C128" s="6" t="n"/>
      <c r="D128" s="6" t="n"/>
      <c r="E128" s="6" t="n"/>
      <c r="F128" s="6" t="n"/>
      <c r="G128" s="6" t="n"/>
    </row>
    <row r="129">
      <c r="B129" s="6" t="n"/>
      <c r="C129" s="6" t="n"/>
      <c r="D129" s="6" t="n"/>
      <c r="E129" s="6" t="n"/>
      <c r="F129" s="6" t="n"/>
      <c r="G129" s="6" t="n"/>
    </row>
    <row r="130">
      <c r="B130" s="8" t="inlineStr">
        <is>
          <t>Recorrido que realiza</t>
        </is>
      </c>
      <c r="C130" s="6" t="n"/>
      <c r="D130" s="6" t="n"/>
      <c r="E130" s="6" t="n"/>
      <c r="F130" s="6" t="n"/>
      <c r="G130" s="6" t="n"/>
    </row>
    <row r="131">
      <c r="B131" s="9" t="inlineStr">
        <is>
          <t>Categoría</t>
        </is>
      </c>
      <c r="C131" s="10" t="inlineStr">
        <is>
          <t>n</t>
        </is>
      </c>
      <c r="D131" s="10" t="inlineStr">
        <is>
          <t>%</t>
        </is>
      </c>
      <c r="E131" s="6" t="n"/>
      <c r="F131" s="6" t="n"/>
      <c r="G131" s="6" t="n"/>
    </row>
    <row r="132">
      <c r="B132" s="11" t="inlineStr">
        <is>
          <t>Viaje provincial (Jujuy)</t>
        </is>
      </c>
      <c r="C132" s="11">
        <f>COUNTIF(Datos!$AK$2:$AK$3000,"Viaje provincial (Jujuy)")</f>
        <v/>
      </c>
      <c r="D132" s="19">
        <f>IF($C$135=0,"",C132/$C$135)</f>
        <v/>
      </c>
      <c r="E132" s="6" t="n"/>
      <c r="F132" s="6" t="n"/>
      <c r="G132" s="6" t="n"/>
    </row>
    <row r="133">
      <c r="B133" s="11" t="inlineStr">
        <is>
          <t>Viaje interprovincial</t>
        </is>
      </c>
      <c r="C133" s="11">
        <f>COUNTIF(Datos!$AK$2:$AK$3000,"Viaje interprovincial")</f>
        <v/>
      </c>
      <c r="D133" s="19">
        <f>IF($C$135=0,"",C133/$C$135)</f>
        <v/>
      </c>
      <c r="E133" s="6" t="n"/>
      <c r="F133" s="6" t="n"/>
      <c r="G133" s="6" t="n"/>
    </row>
    <row r="134">
      <c r="B134" s="11" t="inlineStr">
        <is>
          <t>Viaje internacional</t>
        </is>
      </c>
      <c r="C134" s="11">
        <f>COUNTIF(Datos!$AK$2:$AK$3000,"Viaje internacional")</f>
        <v/>
      </c>
      <c r="D134" s="19">
        <f>IF($C$135=0,"",C134/$C$135)</f>
        <v/>
      </c>
      <c r="E134" s="6" t="n"/>
      <c r="F134" s="6" t="n"/>
      <c r="G134" s="6" t="n"/>
    </row>
    <row r="135">
      <c r="B135" s="20" t="inlineStr">
        <is>
          <t>Respondieron</t>
        </is>
      </c>
      <c r="C135" s="20">
        <f>COUNTA(Datos!$AK$2:$AK$3000)</f>
        <v/>
      </c>
      <c r="D135" s="21" t="n"/>
      <c r="E135" s="6" t="n"/>
      <c r="F135" s="6" t="n"/>
      <c r="G135" s="6" t="n"/>
    </row>
    <row r="136">
      <c r="B136" s="6" t="n"/>
      <c r="C136" s="6" t="n"/>
      <c r="D136" s="6" t="n"/>
      <c r="E136" s="6" t="n"/>
      <c r="F136" s="6" t="n"/>
      <c r="G136" s="6" t="n"/>
    </row>
    <row r="137">
      <c r="B137" s="6" t="n"/>
      <c r="C137" s="6" t="n"/>
      <c r="D137" s="6" t="n"/>
      <c r="E137" s="6" t="n"/>
      <c r="F137" s="6" t="n"/>
      <c r="G137" s="6" t="n"/>
    </row>
    <row r="138">
      <c r="B138" s="6" t="n"/>
      <c r="C138" s="6" t="n"/>
      <c r="D138" s="6" t="n"/>
      <c r="E138" s="6" t="n"/>
      <c r="F138" s="6" t="n"/>
      <c r="G138" s="6" t="n"/>
    </row>
    <row r="139">
      <c r="B139" s="6" t="n"/>
      <c r="C139" s="6" t="n"/>
      <c r="D139" s="6" t="n"/>
      <c r="E139" s="6" t="n"/>
      <c r="F139" s="6" t="n"/>
      <c r="G139" s="6" t="n"/>
    </row>
    <row r="140">
      <c r="B140" s="6" t="n"/>
      <c r="C140" s="6" t="n"/>
      <c r="D140" s="6" t="n"/>
      <c r="E140" s="6" t="n"/>
      <c r="F140" s="6" t="n"/>
      <c r="G140" s="6" t="n"/>
    </row>
    <row r="141">
      <c r="B141" s="6" t="n"/>
      <c r="C141" s="6" t="n"/>
      <c r="D141" s="6" t="n"/>
      <c r="E141" s="6" t="n"/>
      <c r="F141" s="6" t="n"/>
      <c r="G141" s="6" t="n"/>
    </row>
    <row r="142">
      <c r="B142" s="6" t="n"/>
      <c r="C142" s="6" t="n"/>
      <c r="D142" s="6" t="n"/>
      <c r="E142" s="6" t="n"/>
      <c r="F142" s="6" t="n"/>
      <c r="G142" s="6" t="n"/>
    </row>
    <row r="143">
      <c r="B143" s="6" t="n"/>
      <c r="C143" s="6" t="n"/>
      <c r="D143" s="6" t="n"/>
      <c r="E143" s="6" t="n"/>
      <c r="F143" s="6" t="n"/>
      <c r="G143" s="6" t="n"/>
    </row>
    <row r="144">
      <c r="B144" s="8" t="inlineStr">
        <is>
          <t>Relación laboral</t>
        </is>
      </c>
      <c r="C144" s="6" t="n"/>
      <c r="D144" s="6" t="n"/>
      <c r="E144" s="6" t="n"/>
      <c r="F144" s="6" t="n"/>
      <c r="G144" s="6" t="n"/>
    </row>
    <row r="145">
      <c r="B145" s="9" t="inlineStr">
        <is>
          <t>Categoría</t>
        </is>
      </c>
      <c r="C145" s="10" t="inlineStr">
        <is>
          <t>n</t>
        </is>
      </c>
      <c r="D145" s="10" t="inlineStr">
        <is>
          <t>%</t>
        </is>
      </c>
      <c r="E145" s="6" t="n"/>
      <c r="F145" s="6" t="n"/>
      <c r="G145" s="6" t="n"/>
    </row>
    <row r="146">
      <c r="B146" s="11" t="inlineStr">
        <is>
          <t>Empleado</t>
        </is>
      </c>
      <c r="C146" s="11">
        <f>COUNTIF(Datos!$AP$2:$AP$3000,"Empleado")</f>
        <v/>
      </c>
      <c r="D146" s="19">
        <f>IF($C$149=0,"",C146/$C$149)</f>
        <v/>
      </c>
      <c r="E146" s="6" t="n"/>
      <c r="F146" s="6" t="n"/>
      <c r="G146" s="6" t="n"/>
    </row>
    <row r="147">
      <c r="B147" s="11" t="inlineStr">
        <is>
          <t>Dueño del camión</t>
        </is>
      </c>
      <c r="C147" s="11">
        <f>COUNTIF(Datos!$AP$2:$AP$3000,"Dueño del camión")</f>
        <v/>
      </c>
      <c r="D147" s="19">
        <f>IF($C$149=0,"",C147/$C$149)</f>
        <v/>
      </c>
      <c r="E147" s="6" t="n"/>
      <c r="F147" s="6" t="n"/>
      <c r="G147" s="6" t="n"/>
    </row>
    <row r="148">
      <c r="B148" s="11" t="inlineStr">
        <is>
          <t>Otro</t>
        </is>
      </c>
      <c r="C148" s="11">
        <f>COUNTIF(Datos!$AP$2:$AP$3000,"Otro")</f>
        <v/>
      </c>
      <c r="D148" s="19">
        <f>IF($C$149=0,"",C148/$C$149)</f>
        <v/>
      </c>
      <c r="E148" s="6" t="n"/>
      <c r="F148" s="6" t="n"/>
      <c r="G148" s="6" t="n"/>
    </row>
    <row r="149">
      <c r="B149" s="20" t="inlineStr">
        <is>
          <t>Respondieron</t>
        </is>
      </c>
      <c r="C149" s="20">
        <f>COUNTA(Datos!$AP$2:$AP$3000)</f>
        <v/>
      </c>
      <c r="D149" s="21" t="n"/>
      <c r="E149" s="6" t="n"/>
      <c r="F149" s="6" t="n"/>
      <c r="G149" s="6" t="n"/>
    </row>
    <row r="150">
      <c r="B150" s="6" t="n"/>
      <c r="C150" s="6" t="n"/>
      <c r="D150" s="6" t="n"/>
      <c r="E150" s="6" t="n"/>
      <c r="F150" s="6" t="n"/>
      <c r="G150" s="6" t="n"/>
    </row>
    <row r="151">
      <c r="B151" s="6" t="n"/>
      <c r="C151" s="6" t="n"/>
      <c r="D151" s="6" t="n"/>
      <c r="E151" s="6" t="n"/>
      <c r="F151" s="6" t="n"/>
      <c r="G151" s="6" t="n"/>
    </row>
    <row r="152">
      <c r="B152" s="6" t="n"/>
      <c r="C152" s="6" t="n"/>
      <c r="D152" s="6" t="n"/>
      <c r="E152" s="6" t="n"/>
      <c r="F152" s="6" t="n"/>
      <c r="G152" s="6" t="n"/>
    </row>
    <row r="153">
      <c r="B153" s="6" t="n"/>
      <c r="C153" s="6" t="n"/>
      <c r="D153" s="6" t="n"/>
      <c r="E153" s="6" t="n"/>
      <c r="F153" s="6" t="n"/>
      <c r="G153" s="6" t="n"/>
    </row>
    <row r="154">
      <c r="B154" s="6" t="n"/>
      <c r="C154" s="6" t="n"/>
      <c r="D154" s="6" t="n"/>
      <c r="E154" s="6" t="n"/>
      <c r="F154" s="6" t="n"/>
      <c r="G154" s="6" t="n"/>
    </row>
    <row r="155">
      <c r="B155" s="6" t="n"/>
      <c r="C155" s="6" t="n"/>
      <c r="D155" s="6" t="n"/>
      <c r="E155" s="6" t="n"/>
      <c r="F155" s="6" t="n"/>
      <c r="G155" s="6" t="n"/>
    </row>
    <row r="156">
      <c r="B156" s="6" t="n"/>
      <c r="C156" s="6" t="n"/>
      <c r="D156" s="6" t="n"/>
      <c r="E156" s="6" t="n"/>
      <c r="F156" s="6" t="n"/>
      <c r="G156" s="6" t="n"/>
    </row>
    <row r="157">
      <c r="B157" s="6" t="n"/>
      <c r="C157" s="6" t="n"/>
      <c r="D157" s="6" t="n"/>
      <c r="E157" s="6" t="n"/>
      <c r="F157" s="6" t="n"/>
      <c r="G157" s="6" t="n"/>
    </row>
    <row r="158">
      <c r="B158" s="8" t="inlineStr">
        <is>
          <t>Estado de las rutas en Jujuy</t>
        </is>
      </c>
      <c r="C158" s="6" t="n"/>
      <c r="D158" s="6" t="n"/>
      <c r="E158" s="6" t="n"/>
      <c r="F158" s="6" t="n"/>
      <c r="G158" s="6" t="n"/>
    </row>
    <row r="159">
      <c r="B159" s="9" t="inlineStr">
        <is>
          <t>Categoría</t>
        </is>
      </c>
      <c r="C159" s="10" t="inlineStr">
        <is>
          <t>n</t>
        </is>
      </c>
      <c r="D159" s="10" t="inlineStr">
        <is>
          <t>%</t>
        </is>
      </c>
      <c r="E159" s="6" t="n"/>
      <c r="F159" s="6" t="n"/>
      <c r="G159" s="6" t="n"/>
    </row>
    <row r="160">
      <c r="B160" s="11" t="inlineStr">
        <is>
          <t>Muy bueno</t>
        </is>
      </c>
      <c r="C160" s="11">
        <f>COUNTIF(Datos!$AI$2:$AI$3000,"Muy bueno")</f>
        <v/>
      </c>
      <c r="D160" s="19">
        <f>IF($C$165=0,"",C160/$C$165)</f>
        <v/>
      </c>
      <c r="E160" s="6" t="n"/>
      <c r="F160" s="6" t="n"/>
      <c r="G160" s="6" t="n"/>
    </row>
    <row r="161">
      <c r="B161" s="11" t="inlineStr">
        <is>
          <t>Bueno</t>
        </is>
      </c>
      <c r="C161" s="11">
        <f>COUNTIF(Datos!$AI$2:$AI$3000,"Bueno")</f>
        <v/>
      </c>
      <c r="D161" s="19">
        <f>IF($C$165=0,"",C161/$C$165)</f>
        <v/>
      </c>
      <c r="E161" s="6" t="n"/>
      <c r="F161" s="6" t="n"/>
      <c r="G161" s="6" t="n"/>
    </row>
    <row r="162">
      <c r="B162" s="11" t="inlineStr">
        <is>
          <t>Regular</t>
        </is>
      </c>
      <c r="C162" s="11">
        <f>COUNTIF(Datos!$AI$2:$AI$3000,"Regular")</f>
        <v/>
      </c>
      <c r="D162" s="19">
        <f>IF($C$165=0,"",C162/$C$165)</f>
        <v/>
      </c>
      <c r="E162" s="6" t="n"/>
      <c r="F162" s="6" t="n"/>
      <c r="G162" s="6" t="n"/>
    </row>
    <row r="163">
      <c r="B163" s="11" t="inlineStr">
        <is>
          <t>Malo</t>
        </is>
      </c>
      <c r="C163" s="11">
        <f>COUNTIF(Datos!$AI$2:$AI$3000,"Malo")</f>
        <v/>
      </c>
      <c r="D163" s="19">
        <f>IF($C$165=0,"",C163/$C$165)</f>
        <v/>
      </c>
      <c r="E163" s="6" t="n"/>
      <c r="F163" s="6" t="n"/>
      <c r="G163" s="6" t="n"/>
    </row>
    <row r="164">
      <c r="B164" s="11" t="inlineStr">
        <is>
          <t>Muy malo</t>
        </is>
      </c>
      <c r="C164" s="11">
        <f>COUNTIF(Datos!$AI$2:$AI$3000,"Muy malo")</f>
        <v/>
      </c>
      <c r="D164" s="19">
        <f>IF($C$165=0,"",C164/$C$165)</f>
        <v/>
      </c>
      <c r="E164" s="6" t="n"/>
      <c r="F164" s="6" t="n"/>
      <c r="G164" s="6" t="n"/>
    </row>
    <row r="165">
      <c r="B165" s="20" t="inlineStr">
        <is>
          <t>Respondieron</t>
        </is>
      </c>
      <c r="C165" s="20">
        <f>COUNTA(Datos!$AI$2:$AI$3000)</f>
        <v/>
      </c>
      <c r="D165" s="21" t="n"/>
      <c r="E165" s="6" t="n"/>
      <c r="F165" s="6" t="n"/>
      <c r="G165" s="6" t="n"/>
    </row>
    <row r="166">
      <c r="B166" s="6" t="n"/>
      <c r="C166" s="6" t="n"/>
      <c r="D166" s="6" t="n"/>
      <c r="E166" s="6" t="n"/>
      <c r="F166" s="6" t="n"/>
      <c r="G166" s="6" t="n"/>
    </row>
    <row r="167">
      <c r="B167" s="6" t="n"/>
      <c r="C167" s="6" t="n"/>
      <c r="D167" s="6" t="n"/>
      <c r="E167" s="6" t="n"/>
      <c r="F167" s="6" t="n"/>
      <c r="G167" s="6" t="n"/>
    </row>
    <row r="168">
      <c r="B168" s="6" t="n"/>
      <c r="C168" s="6" t="n"/>
      <c r="D168" s="6" t="n"/>
      <c r="E168" s="6" t="n"/>
      <c r="F168" s="6" t="n"/>
      <c r="G168" s="6" t="n"/>
    </row>
    <row r="169">
      <c r="B169" s="6" t="n"/>
      <c r="C169" s="6" t="n"/>
      <c r="D169" s="6" t="n"/>
      <c r="E169" s="6" t="n"/>
      <c r="F169" s="6" t="n"/>
      <c r="G169" s="6" t="n"/>
    </row>
    <row r="170">
      <c r="B170" s="6" t="n"/>
      <c r="C170" s="6" t="n"/>
      <c r="D170" s="6" t="n"/>
      <c r="E170" s="6" t="n"/>
      <c r="F170" s="6" t="n"/>
      <c r="G170" s="6" t="n"/>
    </row>
    <row r="171">
      <c r="B171" s="6" t="n"/>
      <c r="C171" s="6" t="n"/>
      <c r="D171" s="6" t="n"/>
      <c r="E171" s="6" t="n"/>
      <c r="F171" s="6" t="n"/>
      <c r="G171" s="6" t="n"/>
    </row>
    <row r="172">
      <c r="B172" s="8" t="inlineStr">
        <is>
          <t>Con lo que gana, ¿llega a fin de mes?</t>
        </is>
      </c>
      <c r="C172" s="6" t="n"/>
      <c r="D172" s="6" t="n"/>
      <c r="E172" s="6" t="n"/>
      <c r="F172" s="6" t="n"/>
      <c r="G172" s="6" t="n"/>
    </row>
    <row r="173">
      <c r="B173" s="9" t="inlineStr">
        <is>
          <t>Categoría</t>
        </is>
      </c>
      <c r="C173" s="10" t="inlineStr">
        <is>
          <t>n</t>
        </is>
      </c>
      <c r="D173" s="10" t="inlineStr">
        <is>
          <t>%</t>
        </is>
      </c>
      <c r="E173" s="6" t="n"/>
      <c r="F173" s="6" t="n"/>
      <c r="G173" s="6" t="n"/>
    </row>
    <row r="174">
      <c r="B174" s="11" t="inlineStr">
        <is>
          <t>Sí</t>
        </is>
      </c>
      <c r="C174" s="11">
        <f>COUNTIF(Datos!$BE$2:$BE$3000,"Sí")</f>
        <v/>
      </c>
      <c r="D174" s="19">
        <f>IF($C$177=0,"",C174/$C$177)</f>
        <v/>
      </c>
      <c r="E174" s="6" t="n"/>
      <c r="F174" s="6" t="n"/>
      <c r="G174" s="6" t="n"/>
    </row>
    <row r="175">
      <c r="B175" s="11" t="inlineStr">
        <is>
          <t>Parcialmente</t>
        </is>
      </c>
      <c r="C175" s="11">
        <f>COUNTIF(Datos!$BE$2:$BE$3000,"Parcialmente")</f>
        <v/>
      </c>
      <c r="D175" s="19">
        <f>IF($C$177=0,"",C175/$C$177)</f>
        <v/>
      </c>
      <c r="E175" s="6" t="n"/>
      <c r="F175" s="6" t="n"/>
      <c r="G175" s="6" t="n"/>
    </row>
    <row r="176">
      <c r="B176" s="11" t="inlineStr">
        <is>
          <t>No</t>
        </is>
      </c>
      <c r="C176" s="11">
        <f>COUNTIF(Datos!$BE$2:$BE$3000,"No")</f>
        <v/>
      </c>
      <c r="D176" s="19">
        <f>IF($C$177=0,"",C176/$C$177)</f>
        <v/>
      </c>
      <c r="E176" s="6" t="n"/>
      <c r="F176" s="6" t="n"/>
      <c r="G176" s="6" t="n"/>
    </row>
    <row r="177">
      <c r="B177" s="20" t="inlineStr">
        <is>
          <t>Respondieron</t>
        </is>
      </c>
      <c r="C177" s="20">
        <f>COUNTA(Datos!$BE$2:$BE$3000)</f>
        <v/>
      </c>
      <c r="D177" s="21" t="n"/>
      <c r="E177" s="6" t="n"/>
      <c r="F177" s="6" t="n"/>
      <c r="G177" s="6" t="n"/>
    </row>
    <row r="178">
      <c r="B178" s="6" t="n"/>
      <c r="C178" s="6" t="n"/>
      <c r="D178" s="6" t="n"/>
      <c r="E178" s="6" t="n"/>
      <c r="F178" s="6" t="n"/>
      <c r="G178" s="6" t="n"/>
    </row>
    <row r="179">
      <c r="B179" s="6" t="n"/>
      <c r="C179" s="6" t="n"/>
      <c r="D179" s="6" t="n"/>
      <c r="E179" s="6" t="n"/>
      <c r="F179" s="6" t="n"/>
      <c r="G179" s="6" t="n"/>
    </row>
    <row r="180">
      <c r="B180" s="6" t="n"/>
      <c r="C180" s="6" t="n"/>
      <c r="D180" s="6" t="n"/>
      <c r="E180" s="6" t="n"/>
      <c r="F180" s="6" t="n"/>
      <c r="G180" s="6" t="n"/>
    </row>
    <row r="181">
      <c r="B181" s="6" t="n"/>
      <c r="C181" s="6" t="n"/>
      <c r="D181" s="6" t="n"/>
      <c r="E181" s="6" t="n"/>
      <c r="F181" s="6" t="n"/>
      <c r="G181" s="6" t="n"/>
    </row>
    <row r="182">
      <c r="B182" s="6" t="n"/>
      <c r="C182" s="6" t="n"/>
      <c r="D182" s="6" t="n"/>
      <c r="E182" s="6" t="n"/>
      <c r="F182" s="6" t="n"/>
      <c r="G182" s="6" t="n"/>
    </row>
    <row r="183">
      <c r="B183" s="6" t="n"/>
      <c r="C183" s="6" t="n"/>
      <c r="D183" s="6" t="n"/>
      <c r="E183" s="6" t="n"/>
      <c r="F183" s="6" t="n"/>
      <c r="G183" s="6" t="n"/>
    </row>
    <row r="184">
      <c r="B184" s="6" t="n"/>
      <c r="C184" s="6" t="n"/>
      <c r="D184" s="6" t="n"/>
      <c r="E184" s="6" t="n"/>
      <c r="F184" s="6" t="n"/>
      <c r="G184" s="6" t="n"/>
    </row>
    <row r="185">
      <c r="B185" s="6" t="n"/>
      <c r="C185" s="6" t="n"/>
      <c r="D185" s="6" t="n"/>
      <c r="E185" s="6" t="n"/>
      <c r="F185" s="6" t="n"/>
      <c r="G185" s="6" t="n"/>
    </row>
    <row r="186">
      <c r="B186" s="8" t="inlineStr">
        <is>
          <t>Cobertura médica</t>
        </is>
      </c>
      <c r="C186" s="6" t="n"/>
      <c r="D186" s="6" t="n"/>
      <c r="E186" s="6" t="n"/>
      <c r="F186" s="6" t="n"/>
      <c r="G186" s="6" t="n"/>
    </row>
    <row r="187">
      <c r="B187" s="14" t="inlineStr">
        <is>
          <t>Se puede marcar más de una opción: los porcentajes suman más de 100 %.</t>
        </is>
      </c>
      <c r="C187" s="6" t="n"/>
      <c r="D187" s="6" t="n"/>
      <c r="E187" s="6" t="n"/>
      <c r="F187" s="6" t="n"/>
      <c r="G187" s="6" t="n"/>
    </row>
    <row r="188">
      <c r="B188" s="9" t="inlineStr">
        <is>
          <t>Categoría</t>
        </is>
      </c>
      <c r="C188" s="10" t="inlineStr">
        <is>
          <t>n</t>
        </is>
      </c>
      <c r="D188" s="10" t="inlineStr">
        <is>
          <t>%</t>
        </is>
      </c>
      <c r="E188" s="6" t="n"/>
      <c r="F188" s="6" t="n"/>
      <c r="G188" s="6" t="n"/>
    </row>
    <row r="189">
      <c r="B189" s="11" t="inlineStr">
        <is>
          <t>Obra social</t>
        </is>
      </c>
      <c r="C189" s="11">
        <f>COUNTIF(Datos!$BF$2:$BF$3000,"Obra social")+COUNTIF(Datos!$BF$2:$BF$3000,"Obra social;*")+COUNTIF(Datos!$BF$2:$BF$3000,"*; Obra social")+COUNTIF(Datos!$BF$2:$BF$3000,"*; Obra social;*")</f>
        <v/>
      </c>
      <c r="D189" s="19">
        <f>IF($C$193=0,"",C189/$C$193)</f>
        <v/>
      </c>
      <c r="E189" s="6" t="n"/>
      <c r="F189" s="6" t="n"/>
      <c r="G189" s="6" t="n"/>
    </row>
    <row r="190">
      <c r="B190" s="11" t="inlineStr">
        <is>
          <t>Prepaga</t>
        </is>
      </c>
      <c r="C190" s="11">
        <f>COUNTIF(Datos!$BF$2:$BF$3000,"Prepaga")+COUNTIF(Datos!$BF$2:$BF$3000,"Prepaga;*")+COUNTIF(Datos!$BF$2:$BF$3000,"*; Prepaga")+COUNTIF(Datos!$BF$2:$BF$3000,"*; Prepaga;*")</f>
        <v/>
      </c>
      <c r="D190" s="19">
        <f>IF($C$193=0,"",C190/$C$193)</f>
        <v/>
      </c>
      <c r="E190" s="6" t="n"/>
      <c r="F190" s="6" t="n"/>
      <c r="G190" s="6" t="n"/>
    </row>
    <row r="191">
      <c r="B191" s="11" t="inlineStr">
        <is>
          <t>Seguro de salud</t>
        </is>
      </c>
      <c r="C191" s="11">
        <f>COUNTIF(Datos!$BF$2:$BF$3000,"Seguro de salud")+COUNTIF(Datos!$BF$2:$BF$3000,"Seguro de salud;*")+COUNTIF(Datos!$BF$2:$BF$3000,"*; Seguro de salud")+COUNTIF(Datos!$BF$2:$BF$3000,"*; Seguro de salud;*")</f>
        <v/>
      </c>
      <c r="D191" s="19">
        <f>IF($C$193=0,"",C191/$C$193)</f>
        <v/>
      </c>
      <c r="E191" s="6" t="n"/>
      <c r="F191" s="6" t="n"/>
      <c r="G191" s="6" t="n"/>
    </row>
    <row r="192">
      <c r="B192" s="11" t="inlineStr">
        <is>
          <t>Ninguna</t>
        </is>
      </c>
      <c r="C192" s="11">
        <f>COUNTIF(Datos!$BF$2:$BF$3000,"Ninguna")+COUNTIF(Datos!$BF$2:$BF$3000,"Ninguna;*")+COUNTIF(Datos!$BF$2:$BF$3000,"*; Ninguna")+COUNTIF(Datos!$BF$2:$BF$3000,"*; Ninguna;*")</f>
        <v/>
      </c>
      <c r="D192" s="19">
        <f>IF($C$193=0,"",C192/$C$193)</f>
        <v/>
      </c>
      <c r="E192" s="6" t="n"/>
      <c r="F192" s="6" t="n"/>
      <c r="G192" s="6" t="n"/>
    </row>
    <row r="193">
      <c r="B193" s="20" t="inlineStr">
        <is>
          <t>Respondieron (puede elegirse más de una)</t>
        </is>
      </c>
      <c r="C193" s="20">
        <f>COUNTA(Datos!$BF$2:$BF$3000)</f>
        <v/>
      </c>
      <c r="D193" s="21" t="n"/>
      <c r="E193" s="6" t="n"/>
      <c r="F193" s="6" t="n"/>
      <c r="G193" s="6" t="n"/>
    </row>
    <row r="194">
      <c r="B194" s="6" t="n"/>
      <c r="C194" s="6" t="n"/>
      <c r="D194" s="6" t="n"/>
      <c r="E194" s="6" t="n"/>
      <c r="F194" s="6" t="n"/>
      <c r="G194" s="6" t="n"/>
    </row>
    <row r="195">
      <c r="B195" s="6" t="n"/>
      <c r="C195" s="6" t="n"/>
      <c r="D195" s="6" t="n"/>
      <c r="E195" s="6" t="n"/>
      <c r="F195" s="6" t="n"/>
      <c r="G195" s="6" t="n"/>
    </row>
    <row r="196">
      <c r="B196" s="6" t="n"/>
      <c r="C196" s="6" t="n"/>
      <c r="D196" s="6" t="n"/>
      <c r="E196" s="6" t="n"/>
      <c r="F196" s="6" t="n"/>
      <c r="G196" s="6" t="n"/>
    </row>
    <row r="197">
      <c r="B197" s="6" t="n"/>
      <c r="C197" s="6" t="n"/>
      <c r="D197" s="6" t="n"/>
      <c r="E197" s="6" t="n"/>
      <c r="F197" s="6" t="n"/>
      <c r="G197" s="6" t="n"/>
    </row>
    <row r="198">
      <c r="B198" s="6" t="n"/>
      <c r="C198" s="6" t="n"/>
      <c r="D198" s="6" t="n"/>
      <c r="E198" s="6" t="n"/>
      <c r="F198" s="6" t="n"/>
      <c r="G198" s="6" t="n"/>
    </row>
    <row r="199">
      <c r="B199" s="6" t="n"/>
      <c r="C199" s="6" t="n"/>
      <c r="D199" s="6" t="n"/>
      <c r="E199" s="6" t="n"/>
      <c r="F199" s="6" t="n"/>
      <c r="G199" s="6" t="n"/>
    </row>
    <row r="200">
      <c r="B200" s="8" t="inlineStr">
        <is>
          <t>Dónde come durante los viajes</t>
        </is>
      </c>
      <c r="C200" s="6" t="n"/>
      <c r="D200" s="6" t="n"/>
      <c r="E200" s="6" t="n"/>
      <c r="F200" s="6" t="n"/>
      <c r="G200" s="6" t="n"/>
    </row>
    <row r="201">
      <c r="B201" s="14" t="inlineStr">
        <is>
          <t>Se puede marcar más de una opción: los porcentajes suman más de 100 %.</t>
        </is>
      </c>
      <c r="C201" s="6" t="n"/>
      <c r="D201" s="6" t="n"/>
      <c r="E201" s="6" t="n"/>
      <c r="F201" s="6" t="n"/>
      <c r="G201" s="6" t="n"/>
    </row>
    <row r="202">
      <c r="B202" s="9" t="inlineStr">
        <is>
          <t>Categoría</t>
        </is>
      </c>
      <c r="C202" s="10" t="inlineStr">
        <is>
          <t>n</t>
        </is>
      </c>
      <c r="D202" s="10" t="inlineStr">
        <is>
          <t>%</t>
        </is>
      </c>
      <c r="E202" s="6" t="n"/>
      <c r="F202" s="6" t="n"/>
      <c r="G202" s="6" t="n"/>
    </row>
    <row r="203">
      <c r="B203" s="11" t="inlineStr">
        <is>
          <t>Paradores</t>
        </is>
      </c>
      <c r="C203" s="11">
        <f>COUNTIF(Datos!$AV$2:$AV$3000,"Paradores")+COUNTIF(Datos!$AV$2:$AV$3000,"Paradores;*")+COUNTIF(Datos!$AV$2:$AV$3000,"*; Paradores")+COUNTIF(Datos!$AV$2:$AV$3000,"*; Paradores;*")</f>
        <v/>
      </c>
      <c r="D203" s="19">
        <f>IF($C$208=0,"",C203/$C$208)</f>
        <v/>
      </c>
      <c r="E203" s="6" t="n"/>
      <c r="F203" s="6" t="n"/>
      <c r="G203" s="6" t="n"/>
    </row>
    <row r="204">
      <c r="B204" s="11" t="inlineStr">
        <is>
          <t>En el camión al costado de la ruta</t>
        </is>
      </c>
      <c r="C204" s="11">
        <f>COUNTIF(Datos!$AV$2:$AV$3000,"En el camión al costado de la ruta")+COUNTIF(Datos!$AV$2:$AV$3000,"En el camión al costado de la ruta;*")+COUNTIF(Datos!$AV$2:$AV$3000,"*; En el camión al costado de la ruta")+COUNTIF(Datos!$AV$2:$AV$3000,"*; En el camión al costado de la ruta;*")</f>
        <v/>
      </c>
      <c r="D204" s="19">
        <f>IF($C$208=0,"",C204/$C$208)</f>
        <v/>
      </c>
      <c r="E204" s="6" t="n"/>
      <c r="F204" s="6" t="n"/>
      <c r="G204" s="6" t="n"/>
    </row>
    <row r="205">
      <c r="B205" s="11" t="inlineStr">
        <is>
          <t>Estaciones de servicio</t>
        </is>
      </c>
      <c r="C205" s="11">
        <f>COUNTIF(Datos!$AV$2:$AV$3000,"Estaciones de servicio")+COUNTIF(Datos!$AV$2:$AV$3000,"Estaciones de servicio;*")+COUNTIF(Datos!$AV$2:$AV$3000,"*; Estaciones de servicio")+COUNTIF(Datos!$AV$2:$AV$3000,"*; Estaciones de servicio;*")</f>
        <v/>
      </c>
      <c r="D205" s="19">
        <f>IF($C$208=0,"",C205/$C$208)</f>
        <v/>
      </c>
      <c r="E205" s="6" t="n"/>
      <c r="F205" s="6" t="n"/>
      <c r="G205" s="6" t="n"/>
    </row>
    <row r="206">
      <c r="B206" s="11" t="inlineStr">
        <is>
          <t>En casas de familiares o conocidos</t>
        </is>
      </c>
      <c r="C206" s="11">
        <f>COUNTIF(Datos!$AV$2:$AV$3000,"En casas de familiares o conocidos")+COUNTIF(Datos!$AV$2:$AV$3000,"En casas de familiares o conocidos;*")+COUNTIF(Datos!$AV$2:$AV$3000,"*; En casas de familiares o conocidos")+COUNTIF(Datos!$AV$2:$AV$3000,"*; En casas de familiares o conocidos;*")</f>
        <v/>
      </c>
      <c r="D206" s="19">
        <f>IF($C$208=0,"",C206/$C$208)</f>
        <v/>
      </c>
      <c r="E206" s="6" t="n"/>
      <c r="F206" s="6" t="n"/>
      <c r="G206" s="6" t="n"/>
    </row>
    <row r="207">
      <c r="B207" s="11" t="inlineStr">
        <is>
          <t>Otro</t>
        </is>
      </c>
      <c r="C207" s="11">
        <f>COUNTIF(Datos!$AV$2:$AV$3000,"Otro")+COUNTIF(Datos!$AV$2:$AV$3000,"Otro;*")+COUNTIF(Datos!$AV$2:$AV$3000,"*; Otro")+COUNTIF(Datos!$AV$2:$AV$3000,"*; Otro;*")</f>
        <v/>
      </c>
      <c r="D207" s="19">
        <f>IF($C$208=0,"",C207/$C$208)</f>
        <v/>
      </c>
      <c r="E207" s="6" t="n"/>
      <c r="F207" s="6" t="n"/>
      <c r="G207" s="6" t="n"/>
    </row>
    <row r="208">
      <c r="B208" s="20" t="inlineStr">
        <is>
          <t>Respondieron (puede elegirse más de una)</t>
        </is>
      </c>
      <c r="C208" s="20">
        <f>COUNTA(Datos!$AV$2:$AV$3000)</f>
        <v/>
      </c>
      <c r="D208" s="21" t="n"/>
      <c r="E208" s="6" t="n"/>
      <c r="F208" s="6" t="n"/>
      <c r="G208" s="6" t="n"/>
    </row>
    <row r="209">
      <c r="B209" s="6" t="n"/>
      <c r="C209" s="6" t="n"/>
      <c r="D209" s="6" t="n"/>
      <c r="E209" s="6" t="n"/>
      <c r="F209" s="6" t="n"/>
      <c r="G209" s="6" t="n"/>
    </row>
    <row r="210">
      <c r="B210" s="6" t="n"/>
      <c r="C210" s="6" t="n"/>
      <c r="D210" s="6" t="n"/>
      <c r="E210" s="6" t="n"/>
      <c r="F210" s="6" t="n"/>
      <c r="G210" s="6" t="n"/>
    </row>
    <row r="211">
      <c r="B211" s="6" t="n"/>
      <c r="C211" s="6" t="n"/>
      <c r="D211" s="6" t="n"/>
      <c r="E211" s="6" t="n"/>
      <c r="F211" s="6" t="n"/>
      <c r="G211" s="6" t="n"/>
    </row>
    <row r="212">
      <c r="B212" s="6" t="n"/>
      <c r="C212" s="6" t="n"/>
      <c r="D212" s="6" t="n"/>
      <c r="E212" s="6" t="n"/>
      <c r="F212" s="6" t="n"/>
      <c r="G212" s="6" t="n"/>
    </row>
    <row r="213">
      <c r="B213" s="6" t="n"/>
      <c r="C213" s="6" t="n"/>
      <c r="D213" s="6" t="n"/>
      <c r="E213" s="6" t="n"/>
      <c r="F213" s="6" t="n"/>
      <c r="G213" s="6" t="n"/>
    </row>
    <row r="214">
      <c r="B214" s="8" t="inlineStr">
        <is>
          <t>Bebidas energéticas en viaje</t>
        </is>
      </c>
      <c r="C214" s="6" t="n"/>
      <c r="D214" s="6" t="n"/>
      <c r="E214" s="6" t="n"/>
      <c r="F214" s="6" t="n"/>
      <c r="G214" s="6" t="n"/>
    </row>
    <row r="215">
      <c r="B215" s="14" t="inlineStr">
        <is>
          <t>Se puede marcar más de una opción: los porcentajes suman más de 100 %.</t>
        </is>
      </c>
      <c r="C215" s="6" t="n"/>
      <c r="D215" s="6" t="n"/>
      <c r="E215" s="6" t="n"/>
      <c r="F215" s="6" t="n"/>
      <c r="G215" s="6" t="n"/>
    </row>
    <row r="216">
      <c r="B216" s="9" t="inlineStr">
        <is>
          <t>Categoría</t>
        </is>
      </c>
      <c r="C216" s="10" t="inlineStr">
        <is>
          <t>n</t>
        </is>
      </c>
      <c r="D216" s="10" t="inlineStr">
        <is>
          <t>%</t>
        </is>
      </c>
      <c r="E216" s="6" t="n"/>
      <c r="F216" s="6" t="n"/>
      <c r="G216" s="6" t="n"/>
    </row>
    <row r="217">
      <c r="B217" s="11" t="inlineStr">
        <is>
          <t>No</t>
        </is>
      </c>
      <c r="C217" s="11">
        <f>COUNTIF(Datos!$BQ$2:$BQ$3000,"No")+COUNTIF(Datos!$BQ$2:$BQ$3000,"No;*")+COUNTIF(Datos!$BQ$2:$BQ$3000,"*; No")+COUNTIF(Datos!$BQ$2:$BQ$3000,"*; No;*")</f>
        <v/>
      </c>
      <c r="D217" s="19">
        <f>IF($C$224=0,"",C217/$C$224)</f>
        <v/>
      </c>
      <c r="E217" s="6" t="n"/>
      <c r="F217" s="6" t="n"/>
      <c r="G217" s="6" t="n"/>
    </row>
    <row r="218">
      <c r="B218" s="11" t="inlineStr">
        <is>
          <t>Café</t>
        </is>
      </c>
      <c r="C218" s="11">
        <f>COUNTIF(Datos!$BQ$2:$BQ$3000,"Café")+COUNTIF(Datos!$BQ$2:$BQ$3000,"Café;*")+COUNTIF(Datos!$BQ$2:$BQ$3000,"*; Café")+COUNTIF(Datos!$BQ$2:$BQ$3000,"*; Café;*")</f>
        <v/>
      </c>
      <c r="D218" s="19">
        <f>IF($C$224=0,"",C218/$C$224)</f>
        <v/>
      </c>
      <c r="E218" s="6" t="n"/>
      <c r="F218" s="6" t="n"/>
      <c r="G218" s="6" t="n"/>
    </row>
    <row r="219">
      <c r="B219" s="11" t="inlineStr">
        <is>
          <t>Coca-Cola</t>
        </is>
      </c>
      <c r="C219" s="11">
        <f>COUNTIF(Datos!$BQ$2:$BQ$3000,"Coca-Cola")+COUNTIF(Datos!$BQ$2:$BQ$3000,"Coca-Cola;*")+COUNTIF(Datos!$BQ$2:$BQ$3000,"*; Coca-Cola")+COUNTIF(Datos!$BQ$2:$BQ$3000,"*; Coca-Cola;*")</f>
        <v/>
      </c>
      <c r="D219" s="19">
        <f>IF($C$224=0,"",C219/$C$224)</f>
        <v/>
      </c>
      <c r="E219" s="6" t="n"/>
      <c r="F219" s="6" t="n"/>
      <c r="G219" s="6" t="n"/>
    </row>
    <row r="220">
      <c r="B220" s="11" t="inlineStr">
        <is>
          <t>Pepsi-Cola</t>
        </is>
      </c>
      <c r="C220" s="11">
        <f>COUNTIF(Datos!$BQ$2:$BQ$3000,"Pepsi-Cola")+COUNTIF(Datos!$BQ$2:$BQ$3000,"Pepsi-Cola;*")+COUNTIF(Datos!$BQ$2:$BQ$3000,"*; Pepsi-Cola")+COUNTIF(Datos!$BQ$2:$BQ$3000,"*; Pepsi-Cola;*")</f>
        <v/>
      </c>
      <c r="D220" s="19">
        <f>IF($C$224=0,"",C220/$C$224)</f>
        <v/>
      </c>
      <c r="E220" s="6" t="n"/>
      <c r="F220" s="6" t="n"/>
      <c r="G220" s="6" t="n"/>
    </row>
    <row r="221">
      <c r="B221" s="11" t="inlineStr">
        <is>
          <t>Yerba mate</t>
        </is>
      </c>
      <c r="C221" s="11">
        <f>COUNTIF(Datos!$BQ$2:$BQ$3000,"Yerba mate")+COUNTIF(Datos!$BQ$2:$BQ$3000,"Yerba mate;*")+COUNTIF(Datos!$BQ$2:$BQ$3000,"*; Yerba mate")+COUNTIF(Datos!$BQ$2:$BQ$3000,"*; Yerba mate;*")</f>
        <v/>
      </c>
      <c r="D221" s="19">
        <f>IF($C$224=0,"",C221/$C$224)</f>
        <v/>
      </c>
      <c r="E221" s="6" t="n"/>
      <c r="F221" s="6" t="n"/>
      <c r="G221" s="6" t="n"/>
    </row>
    <row r="222">
      <c r="B222" s="11" t="inlineStr">
        <is>
          <t>Energizantes (Speed, Monster, Red Bull, etc.)</t>
        </is>
      </c>
      <c r="C222" s="11">
        <f>COUNTIF(Datos!$BQ$2:$BQ$3000,"Energizantes (Speed, Monster, Red Bull, etc.)")+COUNTIF(Datos!$BQ$2:$BQ$3000,"Energizantes (Speed, Monster, Red Bull, etc.);*")+COUNTIF(Datos!$BQ$2:$BQ$3000,"*; Energizantes (Speed, Monster, Red Bull, etc.)")+COUNTIF(Datos!$BQ$2:$BQ$3000,"*; Energizantes (Speed, Monster, Red Bull, etc.);*")</f>
        <v/>
      </c>
      <c r="D222" s="19">
        <f>IF($C$224=0,"",C222/$C$224)</f>
        <v/>
      </c>
      <c r="E222" s="6" t="n"/>
      <c r="F222" s="6" t="n"/>
      <c r="G222" s="6" t="n"/>
    </row>
    <row r="223">
      <c r="B223" s="11" t="inlineStr">
        <is>
          <t>Otro</t>
        </is>
      </c>
      <c r="C223" s="11">
        <f>COUNTIF(Datos!$BQ$2:$BQ$3000,"Otro")+COUNTIF(Datos!$BQ$2:$BQ$3000,"Otro;*")+COUNTIF(Datos!$BQ$2:$BQ$3000,"*; Otro")+COUNTIF(Datos!$BQ$2:$BQ$3000,"*; Otro;*")</f>
        <v/>
      </c>
      <c r="D223" s="19">
        <f>IF($C$224=0,"",C223/$C$224)</f>
        <v/>
      </c>
      <c r="E223" s="6" t="n"/>
      <c r="F223" s="6" t="n"/>
      <c r="G223" s="6" t="n"/>
    </row>
    <row r="224">
      <c r="B224" s="20" t="inlineStr">
        <is>
          <t>Respondieron (puede elegirse más de una)</t>
        </is>
      </c>
      <c r="C224" s="20">
        <f>COUNTA(Datos!$BQ$2:$BQ$3000)</f>
        <v/>
      </c>
      <c r="D224" s="21" t="n"/>
      <c r="E224" s="6" t="n"/>
      <c r="F224" s="6" t="n"/>
      <c r="G224" s="6" t="n"/>
    </row>
    <row r="225">
      <c r="B225" s="6" t="n"/>
      <c r="C225" s="6" t="n"/>
      <c r="D225" s="6" t="n"/>
      <c r="E225" s="6" t="n"/>
      <c r="F225" s="6" t="n"/>
      <c r="G225" s="6" t="n"/>
    </row>
    <row r="226">
      <c r="B226" s="6" t="n"/>
      <c r="C226" s="6" t="n"/>
      <c r="D226" s="6" t="n"/>
      <c r="E226" s="6" t="n"/>
      <c r="F226" s="6" t="n"/>
      <c r="G226" s="6" t="n"/>
    </row>
    <row r="227">
      <c r="B227" s="6" t="n"/>
      <c r="C227" s="6" t="n"/>
      <c r="D227" s="6" t="n"/>
      <c r="E227" s="6" t="n"/>
      <c r="F227" s="6" t="n"/>
      <c r="G227" s="6" t="n"/>
    </row>
    <row r="228">
      <c r="B228" s="6" t="n"/>
      <c r="C228" s="6" t="n"/>
      <c r="D228" s="6" t="n"/>
      <c r="E228" s="6" t="n"/>
      <c r="F228" s="6" t="n"/>
      <c r="G228" s="6" t="n"/>
    </row>
    <row r="229">
      <c r="B229" s="6" t="n"/>
      <c r="C229" s="6" t="n"/>
      <c r="D229" s="6" t="n"/>
      <c r="E229" s="6" t="n"/>
      <c r="F229" s="6" t="n"/>
      <c r="G229" s="6" t="n"/>
    </row>
    <row r="230">
      <c r="B230" s="6" t="n"/>
      <c r="C230" s="6" t="n"/>
      <c r="D230" s="6" t="n"/>
      <c r="E230" s="6" t="n"/>
      <c r="F230" s="6" t="n"/>
      <c r="G230" s="6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A588F"/>
    <outlinePr summaryBelow="1" summaryRight="1"/>
    <pageSetUpPr/>
  </sheetPr>
  <dimension ref="A1:CY1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2" customWidth="1" min="10" max="10"/>
    <col width="15" customWidth="1" min="11" max="11"/>
    <col width="15" customWidth="1" min="12" max="12"/>
    <col width="12" customWidth="1" min="13" max="13"/>
    <col width="18" customWidth="1" min="14" max="14"/>
    <col width="16" customWidth="1" min="15" max="15"/>
    <col width="21" customWidth="1" min="16" max="16"/>
    <col width="18" customWidth="1" min="17" max="17"/>
    <col width="16" customWidth="1" min="18" max="18"/>
    <col width="18" customWidth="1" min="19" max="19"/>
    <col width="12" customWidth="1" min="20" max="20"/>
    <col width="23" customWidth="1" min="21" max="21"/>
    <col width="14" customWidth="1" min="22" max="22"/>
    <col width="16" customWidth="1" min="23" max="23"/>
    <col width="19" customWidth="1" min="24" max="24"/>
    <col width="17" customWidth="1" min="25" max="25"/>
    <col width="14" customWidth="1" min="26" max="26"/>
    <col width="15" customWidth="1" min="27" max="27"/>
    <col width="15" customWidth="1" min="28" max="28"/>
    <col width="24" customWidth="1" min="29" max="29"/>
    <col width="12" customWidth="1" min="30" max="30"/>
    <col width="21" customWidth="1" min="31" max="31"/>
    <col width="12" customWidth="1" min="32" max="32"/>
    <col width="16" customWidth="1" min="33" max="33"/>
    <col width="16" customWidth="1" min="34" max="34"/>
    <col width="19" customWidth="1" min="35" max="35"/>
    <col width="20" customWidth="1" min="36" max="36"/>
    <col width="17" customWidth="1" min="37" max="37"/>
    <col width="21" customWidth="1" min="38" max="38"/>
    <col width="26" customWidth="1" min="39" max="39"/>
    <col width="18" customWidth="1" min="40" max="40"/>
    <col width="23" customWidth="1" min="41" max="41"/>
    <col width="24" customWidth="1" min="42" max="42"/>
    <col width="12" customWidth="1" min="43" max="43"/>
    <col width="19" customWidth="1" min="44" max="44"/>
    <col width="20" customWidth="1" min="45" max="45"/>
    <col width="23" customWidth="1" min="46" max="46"/>
    <col width="15" customWidth="1" min="47" max="47"/>
    <col width="18" customWidth="1" min="48" max="48"/>
    <col width="12" customWidth="1" min="49" max="49"/>
    <col width="19" customWidth="1" min="50" max="50"/>
    <col width="23" customWidth="1" min="51" max="51"/>
    <col width="15" customWidth="1" min="52" max="52"/>
    <col width="12" customWidth="1" min="53" max="53"/>
    <col width="18" customWidth="1" min="54" max="54"/>
    <col width="19" customWidth="1" min="55" max="55"/>
    <col width="17" customWidth="1" min="56" max="56"/>
    <col width="18" customWidth="1" min="57" max="57"/>
    <col width="17" customWidth="1" min="58" max="58"/>
    <col width="22" customWidth="1" min="59" max="59"/>
    <col width="21" customWidth="1" min="60" max="60"/>
    <col width="26" customWidth="1" min="61" max="61"/>
    <col width="15" customWidth="1" min="62" max="62"/>
    <col width="14" customWidth="1" min="63" max="63"/>
    <col width="22" customWidth="1" min="64" max="64"/>
    <col width="18" customWidth="1" min="65" max="65"/>
    <col width="20" customWidth="1" min="66" max="66"/>
    <col width="12" customWidth="1" min="67" max="67"/>
    <col width="24" customWidth="1" min="68" max="68"/>
    <col width="19" customWidth="1" min="69" max="69"/>
    <col width="12" customWidth="1" min="70" max="70"/>
    <col width="14" customWidth="1" min="71" max="71"/>
    <col width="15" customWidth="1" min="72" max="72"/>
    <col width="20" customWidth="1" min="73" max="73"/>
    <col width="26" customWidth="1" min="74" max="74"/>
    <col width="12" customWidth="1" min="75" max="75"/>
    <col width="12" customWidth="1" min="76" max="76"/>
    <col width="13" customWidth="1" min="77" max="77"/>
    <col width="14" customWidth="1" min="78" max="78"/>
    <col width="12" customWidth="1" min="79" max="79"/>
    <col width="18" customWidth="1" min="80" max="80"/>
    <col width="14" customWidth="1" min="81" max="81"/>
    <col width="14" customWidth="1" min="82" max="82"/>
    <col width="16" customWidth="1" min="83" max="83"/>
    <col width="16" customWidth="1" min="84" max="84"/>
    <col width="12" customWidth="1" min="85" max="85"/>
    <col width="17" customWidth="1" min="86" max="86"/>
    <col width="20" customWidth="1" min="87" max="87"/>
    <col width="19" customWidth="1" min="88" max="88"/>
    <col width="12" customWidth="1" min="89" max="89"/>
    <col width="12" customWidth="1" min="90" max="90"/>
    <col width="18" customWidth="1" min="91" max="91"/>
    <col width="17" customWidth="1" min="92" max="92"/>
    <col width="19" customWidth="1" min="93" max="93"/>
    <col width="20" customWidth="1" min="94" max="94"/>
    <col width="15" customWidth="1" min="95" max="95"/>
    <col width="13" customWidth="1" min="96" max="96"/>
    <col width="13" customWidth="1" min="97" max="97"/>
    <col width="16" customWidth="1" min="98" max="98"/>
    <col width="19" customWidth="1" min="99" max="99"/>
    <col width="13" customWidth="1" min="100" max="100"/>
    <col width="13" customWidth="1" min="101" max="101"/>
    <col width="13" customWidth="1" min="102" max="102"/>
    <col width="16" customWidth="1" min="103" max="103"/>
  </cols>
  <sheetData>
    <row r="1">
      <c r="A1" s="23" t="inlineStr">
        <is>
          <t>id</t>
        </is>
      </c>
      <c r="B1" s="23" t="inlineStr">
        <is>
          <t>participante_id</t>
        </is>
      </c>
      <c r="C1" s="23" t="inlineStr">
        <is>
          <t>codigo</t>
        </is>
      </c>
      <c r="D1" s="23" t="inlineStr">
        <is>
          <t>orden</t>
        </is>
      </c>
      <c r="E1" s="23" t="inlineStr">
        <is>
          <t>edad</t>
        </is>
      </c>
      <c r="F1" s="23" t="inlineStr">
        <is>
          <t>cp</t>
        </is>
      </c>
      <c r="G1" s="23" t="inlineStr">
        <is>
          <t>fecha</t>
        </is>
      </c>
      <c r="H1" s="23" t="inlineStr">
        <is>
          <t>hora_inicio</t>
        </is>
      </c>
      <c r="I1" s="23" t="inlineStr">
        <is>
          <t>hora_fin</t>
        </is>
      </c>
      <c r="J1" s="23" t="inlineStr">
        <is>
          <t>equipo</t>
        </is>
      </c>
      <c r="K1" s="23" t="inlineStr">
        <is>
          <t>dispositivo</t>
        </is>
      </c>
      <c r="L1" s="23" t="inlineStr">
        <is>
          <t>encuestador</t>
        </is>
      </c>
      <c r="M1" s="23" t="inlineStr">
        <is>
          <t>puesto</t>
        </is>
      </c>
      <c r="N1" s="23" t="inlineStr">
        <is>
          <t>consentimiento</t>
        </is>
      </c>
      <c r="O1" s="23" t="inlineStr">
        <is>
          <t>comparte_app</t>
        </is>
      </c>
      <c r="P1" s="23" t="inlineStr">
        <is>
          <t>socio_respondidas</t>
        </is>
      </c>
      <c r="Q1" s="23" t="inlineStr">
        <is>
          <t>socio_completo</t>
        </is>
      </c>
      <c r="R1" s="23" t="inlineStr">
        <is>
          <t>bio_completo</t>
        </is>
      </c>
      <c r="S1" s="23" t="inlineStr">
        <is>
          <t>gluc_realizada</t>
        </is>
      </c>
      <c r="T1" s="23" t="inlineStr">
        <is>
          <t>estado</t>
        </is>
      </c>
      <c r="U1" s="23" t="inlineStr">
        <is>
          <t>version_instrumento</t>
        </is>
      </c>
      <c r="V1" s="23" t="inlineStr">
        <is>
          <t>modificado</t>
        </is>
      </c>
      <c r="W1" s="23" t="inlineStr">
        <is>
          <t>p01_nac_pais</t>
        </is>
      </c>
      <c r="X1" s="23" t="inlineStr">
        <is>
          <t>p01_nac_detalle</t>
        </is>
      </c>
      <c r="Y1" s="23" t="inlineStr">
        <is>
          <t>p02_educacion</t>
        </is>
      </c>
      <c r="Z1" s="23" t="inlineStr">
        <is>
          <t>p03_pareja</t>
        </is>
      </c>
      <c r="AA1" s="23" t="inlineStr">
        <is>
          <t>p04_convive</t>
        </is>
      </c>
      <c r="AB1" s="23" t="inlineStr">
        <is>
          <t>p05_a_cargo</t>
        </is>
      </c>
      <c r="AC1" s="23" t="inlineStr">
        <is>
          <t>p06_idiomas_entiende</t>
        </is>
      </c>
      <c r="AD1" s="23" t="inlineStr">
        <is>
          <t>p06_otro</t>
        </is>
      </c>
      <c r="AE1" s="23" t="inlineStr">
        <is>
          <t>p07_idiomas_habla</t>
        </is>
      </c>
      <c r="AF1" s="23" t="inlineStr">
        <is>
          <t>p07_otro</t>
        </is>
      </c>
      <c r="AG1" s="23" t="inlineStr">
        <is>
          <t>p08_licencia</t>
        </is>
      </c>
      <c r="AH1" s="23" t="inlineStr">
        <is>
          <t>p08_lic_otro</t>
        </is>
      </c>
      <c r="AI1" s="23" t="inlineStr">
        <is>
          <t>p09_rutas_jujuy</t>
        </is>
      </c>
      <c r="AJ1" s="23" t="inlineStr">
        <is>
          <t>p10_anios_chofer</t>
        </is>
      </c>
      <c r="AK1" s="23" t="inlineStr">
        <is>
          <t>p11_recorrido</t>
        </is>
      </c>
      <c r="AL1" s="23" t="inlineStr">
        <is>
          <t>p12_frec_corredor</t>
        </is>
      </c>
      <c r="AM1" s="23" t="inlineStr">
        <is>
          <t>p12_frec_corredor_otro</t>
        </is>
      </c>
      <c r="AN1" s="23" t="inlineStr">
        <is>
          <t>p12_frec_jujuy</t>
        </is>
      </c>
      <c r="AO1" s="23" t="inlineStr">
        <is>
          <t>p12_frec_jujuy_otro</t>
        </is>
      </c>
      <c r="AP1" s="23" t="inlineStr">
        <is>
          <t>p13_relacion_laboral</t>
        </is>
      </c>
      <c r="AQ1" s="23" t="inlineStr">
        <is>
          <t>p13_otro</t>
        </is>
      </c>
      <c r="AR1" s="23" t="inlineStr">
        <is>
          <t>p14_conformidad</t>
        </is>
      </c>
      <c r="AS1" s="23" t="inlineStr">
        <is>
          <t>p15_riesgo_salud</t>
        </is>
      </c>
      <c r="AT1" s="23" t="inlineStr">
        <is>
          <t>p16_horas_sin_parar</t>
        </is>
      </c>
      <c r="AU1" s="23" t="inlineStr">
        <is>
          <t>p17_paradas</t>
        </is>
      </c>
      <c r="AV1" s="23" t="inlineStr">
        <is>
          <t>p18_donde_come</t>
        </is>
      </c>
      <c r="AW1" s="23" t="inlineStr">
        <is>
          <t>p18_otro</t>
        </is>
      </c>
      <c r="AX1" s="23" t="inlineStr">
        <is>
          <t>p19_horas_sueno</t>
        </is>
      </c>
      <c r="AY1" s="23" t="inlineStr">
        <is>
          <t>p20_frutas_verduras</t>
        </is>
      </c>
      <c r="AZ1" s="23" t="inlineStr">
        <is>
          <t>p21_bebidas</t>
        </is>
      </c>
      <c r="BA1" s="23" t="inlineStr">
        <is>
          <t>p21_otro</t>
        </is>
      </c>
      <c r="BB1" s="23" t="inlineStr">
        <is>
          <t>p22_sanitarios</t>
        </is>
      </c>
      <c r="BC1" s="23" t="inlineStr">
        <is>
          <t>p23_recreativas</t>
        </is>
      </c>
      <c r="BD1" s="23" t="inlineStr">
        <is>
          <t>p24_siniestro</t>
        </is>
      </c>
      <c r="BE1" s="23" t="inlineStr">
        <is>
          <t>p25_fin_de_mes</t>
        </is>
      </c>
      <c r="BF1" s="23" t="inlineStr">
        <is>
          <t>p26_cobertura</t>
        </is>
      </c>
      <c r="BG1" s="23" t="inlineStr">
        <is>
          <t>p27_control_medico</t>
        </is>
      </c>
      <c r="BH1" s="23" t="inlineStr">
        <is>
          <t>p28_frec_consulta</t>
        </is>
      </c>
      <c r="BI1" s="23" t="inlineStr">
        <is>
          <t>p29_atencion_dolencias</t>
        </is>
      </c>
      <c r="BJ1" s="23" t="inlineStr">
        <is>
          <t>p30_dolores</t>
        </is>
      </c>
      <c r="BK1" s="23" t="inlineStr">
        <is>
          <t>p30_cuales</t>
        </is>
      </c>
      <c r="BL1" s="23" t="inlineStr">
        <is>
          <t>p31_automedicacion</t>
        </is>
      </c>
      <c r="BM1" s="23" t="inlineStr">
        <is>
          <t>p32_cuales_med</t>
        </is>
      </c>
      <c r="BN1" s="23" t="inlineStr">
        <is>
          <t>p33_diagnosticos</t>
        </is>
      </c>
      <c r="BO1" s="23" t="inlineStr">
        <is>
          <t>p33_otro</t>
        </is>
      </c>
      <c r="BP1" s="23" t="inlineStr">
        <is>
          <t>p34_actividad_fisica</t>
        </is>
      </c>
      <c r="BQ1" s="23" t="inlineStr">
        <is>
          <t>p35_energeticas</t>
        </is>
      </c>
      <c r="BR1" s="23" t="inlineStr">
        <is>
          <t>p35_otro</t>
        </is>
      </c>
      <c r="BS1" s="23" t="inlineStr">
        <is>
          <t>p36_coquea</t>
        </is>
      </c>
      <c r="BT1" s="23" t="inlineStr">
        <is>
          <t>p37_alcohol</t>
        </is>
      </c>
      <c r="BU1" s="23" t="inlineStr">
        <is>
          <t>p38_comunicacion</t>
        </is>
      </c>
      <c r="BV1" s="23" t="inlineStr">
        <is>
          <t>p39_comparte_trayectos</t>
        </is>
      </c>
      <c r="BW1" s="23" t="inlineStr">
        <is>
          <t>b_dbt_dx</t>
        </is>
      </c>
      <c r="BX1" s="23" t="inlineStr">
        <is>
          <t>b_sexo</t>
        </is>
      </c>
      <c r="BY1" s="23" t="inlineStr">
        <is>
          <t>b_peso_kg</t>
        </is>
      </c>
      <c r="BZ1" s="23" t="inlineStr">
        <is>
          <t>b_altura_m</t>
        </is>
      </c>
      <c r="CA1" s="23" t="inlineStr">
        <is>
          <t>b_imc</t>
        </is>
      </c>
      <c r="CB1" s="23" t="inlineStr">
        <is>
          <t>b_perimetro_cm</t>
        </is>
      </c>
      <c r="CC1" s="23" t="inlineStr">
        <is>
          <t>b_pas_mmhg</t>
        </is>
      </c>
      <c r="CD1" s="23" t="inlineStr">
        <is>
          <t>b_pad_mmhg</t>
        </is>
      </c>
      <c r="CE1" s="23" t="inlineStr">
        <is>
          <t>b_act_fisica</t>
        </is>
      </c>
      <c r="CF1" s="23" t="inlineStr">
        <is>
          <t>b_fyv_diario</t>
        </is>
      </c>
      <c r="CG1" s="23" t="inlineStr">
        <is>
          <t>b_hta_dx</t>
        </is>
      </c>
      <c r="CH1" s="23" t="inlineStr">
        <is>
          <t>b_med_antihta</t>
        </is>
      </c>
      <c r="CI1" s="23" t="inlineStr">
        <is>
          <t>b_glucosa_previa</t>
        </is>
      </c>
      <c r="CJ1" s="23" t="inlineStr">
        <is>
          <t>b_antec_fam_dbt</t>
        </is>
      </c>
      <c r="CK1" s="23" t="inlineStr">
        <is>
          <t>b_fuma</t>
        </is>
      </c>
      <c r="CL1" s="23" t="inlineStr">
        <is>
          <t>g_acepta</t>
        </is>
      </c>
      <c r="CM1" s="23" t="inlineStr">
        <is>
          <t>g_hora_ingesta</t>
        </is>
      </c>
      <c r="CN1" s="23" t="inlineStr">
        <is>
          <t>g_que_ingirio</t>
        </is>
      </c>
      <c r="CO1" s="23" t="inlineStr">
        <is>
          <t>g_hora_medicion</t>
        </is>
      </c>
      <c r="CP1" s="23" t="inlineStr">
        <is>
          <t>g_resultado_mgdl</t>
        </is>
      </c>
      <c r="CQ1" s="23" t="inlineStr">
        <is>
          <t>g_ayuno_min</t>
        </is>
      </c>
      <c r="CR1" s="23" t="inlineStr">
        <is>
          <t>fr_aplica</t>
        </is>
      </c>
      <c r="CS1" s="23" t="inlineStr">
        <is>
          <t>fr_puntos</t>
        </is>
      </c>
      <c r="CT1" s="23" t="inlineStr">
        <is>
          <t>fr_categoria</t>
        </is>
      </c>
      <c r="CU1" s="23" t="inlineStr">
        <is>
          <t>fr_probabilidad</t>
        </is>
      </c>
      <c r="CV1" s="23" t="inlineStr">
        <is>
          <t>fh_aplica</t>
        </is>
      </c>
      <c r="CW1" s="23" t="inlineStr">
        <is>
          <t>fh_puntos</t>
        </is>
      </c>
      <c r="CX1" s="23" t="inlineStr">
        <is>
          <t>fh_riesgo</t>
        </is>
      </c>
      <c r="CY1" s="23" t="inlineStr">
        <is>
          <t>fh_categoria</t>
        </is>
      </c>
    </row>
    <row r="2">
      <c r="A2" s="16" t="inlineStr">
        <is>
          <t>demo-1</t>
        </is>
      </c>
      <c r="B2" s="16" t="inlineStr">
        <is>
          <t>B1-0001</t>
        </is>
      </c>
      <c r="C2" s="16" t="inlineStr">
        <is>
          <t>200-63-4630</t>
        </is>
      </c>
      <c r="D2" s="16" t="n">
        <v>200</v>
      </c>
      <c r="E2" s="16" t="n">
        <v>63</v>
      </c>
      <c r="F2" s="16" t="inlineStr">
        <is>
          <t>4630</t>
        </is>
      </c>
      <c r="G2" s="17" t="n">
        <v>46290</v>
      </c>
      <c r="H2" s="16" t="inlineStr">
        <is>
          <t>10:08</t>
        </is>
      </c>
      <c r="J2" s="16" t="inlineStr">
        <is>
          <t>B</t>
        </is>
      </c>
      <c r="K2" s="16" t="inlineStr">
        <is>
          <t>1</t>
        </is>
      </c>
      <c r="L2" s="16" t="inlineStr">
        <is>
          <t>Encuestador B</t>
        </is>
      </c>
      <c r="M2" s="16" t="inlineStr">
        <is>
          <t>Puesto 2</t>
        </is>
      </c>
      <c r="N2" s="16" t="inlineStr">
        <is>
          <t>Sí</t>
        </is>
      </c>
      <c r="O2" s="16" t="inlineStr">
        <is>
          <t>No</t>
        </is>
      </c>
      <c r="P2" s="16" t="n">
        <v>38</v>
      </c>
      <c r="Q2" s="16" t="inlineStr">
        <is>
          <t>Sí</t>
        </is>
      </c>
      <c r="R2" s="16" t="inlineStr">
        <is>
          <t>No</t>
        </is>
      </c>
      <c r="S2" s="16" t="inlineStr">
        <is>
          <t>No</t>
        </is>
      </c>
      <c r="T2" s="16" t="inlineStr">
        <is>
          <t>finalizado</t>
        </is>
      </c>
      <c r="U2" s="16" t="inlineStr">
        <is>
          <t>2026-10-v2</t>
        </is>
      </c>
      <c r="V2" s="16" t="inlineStr">
        <is>
          <t>2026-09-25T15:00:00.000Z</t>
        </is>
      </c>
      <c r="W2" s="16" t="inlineStr">
        <is>
          <t>Chile</t>
        </is>
      </c>
      <c r="Y2" s="16" t="inlineStr">
        <is>
          <t>Secundaria incompleta</t>
        </is>
      </c>
      <c r="Z2" s="16" t="inlineStr">
        <is>
          <t>Sí</t>
        </is>
      </c>
      <c r="AA2" s="16" t="inlineStr">
        <is>
          <t>Más de 5</t>
        </is>
      </c>
      <c r="AB2" s="16" t="inlineStr">
        <is>
          <t>3</t>
        </is>
      </c>
      <c r="AC2" s="16" t="inlineStr">
        <is>
          <t>Inglés; Portugués</t>
        </is>
      </c>
      <c r="AE2" s="16" t="inlineStr">
        <is>
          <t>Español</t>
        </is>
      </c>
      <c r="AG2" s="16" t="inlineStr">
        <is>
          <t>Argentina</t>
        </is>
      </c>
      <c r="AI2" s="16" t="inlineStr">
        <is>
          <t>Regular</t>
        </is>
      </c>
      <c r="AJ2" s="16" t="n">
        <v>6</v>
      </c>
      <c r="AK2" s="16" t="inlineStr">
        <is>
          <t>Viaje interprovincial</t>
        </is>
      </c>
      <c r="AL2" s="16" t="inlineStr">
        <is>
          <t>Una vez al mes</t>
        </is>
      </c>
      <c r="AN2" s="16" t="inlineStr">
        <is>
          <t>Diariamente</t>
        </is>
      </c>
      <c r="AP2" s="16" t="inlineStr">
        <is>
          <t>Empleado</t>
        </is>
      </c>
      <c r="AR2" s="16" t="inlineStr">
        <is>
          <t>Disconforme</t>
        </is>
      </c>
      <c r="AS2" s="16" t="inlineStr">
        <is>
          <t>Sí</t>
        </is>
      </c>
      <c r="AT2" s="16" t="n">
        <v>6.7</v>
      </c>
      <c r="AU2" s="16" t="inlineStr">
        <is>
          <t>Sí</t>
        </is>
      </c>
      <c r="AV2" s="16" t="inlineStr">
        <is>
          <t>Estaciones de servicio</t>
        </is>
      </c>
      <c r="AX2" s="16" t="n">
        <v>5.7</v>
      </c>
      <c r="AY2" s="16" t="inlineStr">
        <is>
          <t>Todos los días</t>
        </is>
      </c>
      <c r="AZ2" s="16" t="inlineStr">
        <is>
          <t>Jugos artificiales; Gaseosas</t>
        </is>
      </c>
      <c r="BB2" s="16" t="inlineStr">
        <is>
          <t>Sí, siempre</t>
        </is>
      </c>
      <c r="BC2" s="16" t="inlineStr">
        <is>
          <t>Sí</t>
        </is>
      </c>
      <c r="BD2" s="16" t="inlineStr">
        <is>
          <t>Sí</t>
        </is>
      </c>
      <c r="BE2" s="16" t="inlineStr">
        <is>
          <t>No</t>
        </is>
      </c>
      <c r="BF2" s="16" t="inlineStr">
        <is>
          <t>Obra social</t>
        </is>
      </c>
      <c r="BG2" s="16" t="inlineStr">
        <is>
          <t>Sistema público</t>
        </is>
      </c>
      <c r="BH2" s="16" t="inlineStr">
        <is>
          <t>2 veces al año</t>
        </is>
      </c>
      <c r="BI2" s="16" t="inlineStr">
        <is>
          <t>Sistema público; Otros (medicina tradicional, alternativa, etc.)</t>
        </is>
      </c>
      <c r="BJ2" s="16" t="inlineStr">
        <is>
          <t>No</t>
        </is>
      </c>
      <c r="BL2" s="16" t="inlineStr">
        <is>
          <t>Ninguno</t>
        </is>
      </c>
      <c r="BN2" s="16" t="inlineStr">
        <is>
          <t>Musculoesqueléticos</t>
        </is>
      </c>
      <c r="BP2" s="16" t="inlineStr">
        <is>
          <t>Rara vez</t>
        </is>
      </c>
      <c r="BQ2" s="16" t="inlineStr">
        <is>
          <t>Café</t>
        </is>
      </c>
      <c r="BS2" s="16" t="inlineStr">
        <is>
          <t>No</t>
        </is>
      </c>
      <c r="BT2" s="16" t="inlineStr">
        <is>
          <t>Sí</t>
        </is>
      </c>
      <c r="BU2" s="16" t="inlineStr">
        <is>
          <t>A veces</t>
        </is>
      </c>
      <c r="BV2" s="16" t="inlineStr">
        <is>
          <t>Sí</t>
        </is>
      </c>
    </row>
    <row r="3">
      <c r="A3" s="16" t="inlineStr">
        <is>
          <t>demo-2</t>
        </is>
      </c>
      <c r="B3" s="16" t="inlineStr">
        <is>
          <t>B1-0002</t>
        </is>
      </c>
      <c r="C3" s="16" t="inlineStr">
        <is>
          <t>201-47-4400</t>
        </is>
      </c>
      <c r="D3" s="16" t="n">
        <v>201</v>
      </c>
      <c r="E3" s="16" t="n">
        <v>47</v>
      </c>
      <c r="F3" s="16" t="inlineStr">
        <is>
          <t>4400</t>
        </is>
      </c>
      <c r="G3" s="17" t="n">
        <v>46302</v>
      </c>
      <c r="H3" s="16" t="inlineStr">
        <is>
          <t>14:09</t>
        </is>
      </c>
      <c r="J3" s="16" t="inlineStr">
        <is>
          <t>B</t>
        </is>
      </c>
      <c r="K3" s="16" t="inlineStr">
        <is>
          <t>1</t>
        </is>
      </c>
      <c r="L3" s="16" t="inlineStr">
        <is>
          <t>Encuestador B</t>
        </is>
      </c>
      <c r="M3" s="16" t="inlineStr">
        <is>
          <t>Puesto 1</t>
        </is>
      </c>
      <c r="N3" s="16" t="inlineStr">
        <is>
          <t>Sí</t>
        </is>
      </c>
      <c r="O3" s="16" t="inlineStr">
        <is>
          <t>Sí</t>
        </is>
      </c>
      <c r="P3" s="16" t="n">
        <v>39</v>
      </c>
      <c r="Q3" s="16" t="inlineStr">
        <is>
          <t>Sí</t>
        </is>
      </c>
      <c r="R3" s="16" t="inlineStr">
        <is>
          <t>Sí</t>
        </is>
      </c>
      <c r="S3" s="16" t="inlineStr">
        <is>
          <t>Sí</t>
        </is>
      </c>
      <c r="T3" s="16" t="inlineStr">
        <is>
          <t>finalizado</t>
        </is>
      </c>
      <c r="U3" s="16" t="inlineStr">
        <is>
          <t>2026-10-v2</t>
        </is>
      </c>
      <c r="V3" s="16" t="inlineStr">
        <is>
          <t>2026-10-07T15:00:00.000Z</t>
        </is>
      </c>
      <c r="W3" s="16" t="inlineStr">
        <is>
          <t>Argentina</t>
        </is>
      </c>
      <c r="Y3" s="16" t="inlineStr">
        <is>
          <t>Secundaria completa</t>
        </is>
      </c>
      <c r="Z3" s="16" t="inlineStr">
        <is>
          <t>No</t>
        </is>
      </c>
      <c r="AA3" s="16" t="inlineStr">
        <is>
          <t>1</t>
        </is>
      </c>
      <c r="AB3" s="16" t="inlineStr">
        <is>
          <t>3</t>
        </is>
      </c>
      <c r="AC3" s="16" t="inlineStr">
        <is>
          <t>Guaraní</t>
        </is>
      </c>
      <c r="AE3" s="16" t="inlineStr">
        <is>
          <t>Español</t>
        </is>
      </c>
      <c r="AG3" s="16" t="inlineStr">
        <is>
          <t>Argentina</t>
        </is>
      </c>
      <c r="AI3" s="16" t="inlineStr">
        <is>
          <t>Regular</t>
        </is>
      </c>
      <c r="AJ3" s="16" t="n">
        <v>19</v>
      </c>
      <c r="AK3" s="16" t="inlineStr">
        <is>
          <t>Viaje provincial (Jujuy)</t>
        </is>
      </c>
      <c r="AL3" s="16" t="inlineStr">
        <is>
          <t>Una vez a la semana</t>
        </is>
      </c>
      <c r="AN3" s="16" t="inlineStr">
        <is>
          <t>2 veces por semana</t>
        </is>
      </c>
      <c r="AP3" s="16" t="inlineStr">
        <is>
          <t>Empleado</t>
        </is>
      </c>
      <c r="AR3" s="16" t="inlineStr">
        <is>
          <t>Disconforme</t>
        </is>
      </c>
      <c r="AS3" s="16" t="inlineStr">
        <is>
          <t>Sí</t>
        </is>
      </c>
      <c r="AT3" s="16" t="n">
        <v>2.2</v>
      </c>
      <c r="AU3" s="16" t="inlineStr">
        <is>
          <t>Sí</t>
        </is>
      </c>
      <c r="AV3" s="16" t="inlineStr">
        <is>
          <t>En el camión al costado de la ruta</t>
        </is>
      </c>
      <c r="AX3" s="16" t="n">
        <v>5.7</v>
      </c>
      <c r="AY3" s="16" t="inlineStr">
        <is>
          <t>Varias veces por semana</t>
        </is>
      </c>
      <c r="AZ3" s="16" t="inlineStr">
        <is>
          <t>Café; Mate</t>
        </is>
      </c>
      <c r="BB3" s="16" t="inlineStr">
        <is>
          <t>Casi nunca</t>
        </is>
      </c>
      <c r="BC3" s="16" t="inlineStr">
        <is>
          <t>Sí</t>
        </is>
      </c>
      <c r="BD3" s="16" t="inlineStr">
        <is>
          <t>Sí</t>
        </is>
      </c>
      <c r="BE3" s="16" t="inlineStr">
        <is>
          <t>Parcialmente</t>
        </is>
      </c>
      <c r="BF3" s="16" t="inlineStr">
        <is>
          <t>Obra social</t>
        </is>
      </c>
      <c r="BG3" s="16" t="inlineStr">
        <is>
          <t>Sistema público</t>
        </is>
      </c>
      <c r="BH3" s="16" t="inlineStr">
        <is>
          <t>Nunca</t>
        </is>
      </c>
      <c r="BI3" s="16" t="inlineStr">
        <is>
          <t>Sistema público; Otros (medicina tradicional, alternativa, etc.)</t>
        </is>
      </c>
      <c r="BJ3" s="16" t="inlineStr">
        <is>
          <t>Sí</t>
        </is>
      </c>
      <c r="BK3" s="16" t="inlineStr">
        <is>
          <t>Cervical</t>
        </is>
      </c>
      <c r="BL3" s="16" t="inlineStr">
        <is>
          <t>Medicamentos</t>
        </is>
      </c>
      <c r="BM3" s="16" t="inlineStr">
        <is>
          <t>Ibuprofeno</t>
        </is>
      </c>
      <c r="BN3" s="16" t="inlineStr">
        <is>
          <t>No tengo diagnóstico de enfermedad</t>
        </is>
      </c>
      <c r="BP3" s="16" t="inlineStr">
        <is>
          <t>Una vez a la semana</t>
        </is>
      </c>
      <c r="BQ3" s="16" t="inlineStr">
        <is>
          <t>Café</t>
        </is>
      </c>
      <c r="BS3" s="16" t="inlineStr">
        <is>
          <t>Sí</t>
        </is>
      </c>
      <c r="BT3" s="16" t="inlineStr">
        <is>
          <t>Sí</t>
        </is>
      </c>
      <c r="BU3" s="16" t="inlineStr">
        <is>
          <t>A veces</t>
        </is>
      </c>
      <c r="BV3" s="16" t="inlineStr">
        <is>
          <t>No</t>
        </is>
      </c>
      <c r="BW3" s="16" t="inlineStr">
        <is>
          <t>No</t>
        </is>
      </c>
      <c r="BX3" s="16" t="inlineStr">
        <is>
          <t>Varón</t>
        </is>
      </c>
      <c r="BY3" s="16" t="n">
        <v>91.7</v>
      </c>
      <c r="BZ3" s="16" t="n">
        <v>1.74</v>
      </c>
      <c r="CA3" s="16" t="n">
        <v>30.3</v>
      </c>
      <c r="CB3" s="16" t="n">
        <v>97</v>
      </c>
      <c r="CC3" s="16" t="n">
        <v>155</v>
      </c>
      <c r="CD3" s="16" t="n">
        <v>98</v>
      </c>
      <c r="CE3" s="16" t="inlineStr">
        <is>
          <t>No</t>
        </is>
      </c>
      <c r="CF3" s="16" t="inlineStr">
        <is>
          <t>No</t>
        </is>
      </c>
      <c r="CG3" s="16" t="inlineStr">
        <is>
          <t>No</t>
        </is>
      </c>
      <c r="CH3" s="16" t="inlineStr">
        <is>
          <t>No</t>
        </is>
      </c>
      <c r="CI3" s="16" t="inlineStr">
        <is>
          <t>Sí</t>
        </is>
      </c>
      <c r="CJ3" s="16" t="inlineStr">
        <is>
          <t>No</t>
        </is>
      </c>
      <c r="CK3" s="16" t="inlineStr">
        <is>
          <t>Sí</t>
        </is>
      </c>
      <c r="CL3" s="16" t="inlineStr">
        <is>
          <t>Sí</t>
        </is>
      </c>
      <c r="CM3" s="16" t="inlineStr">
        <is>
          <t>07:40</t>
        </is>
      </c>
      <c r="CN3" s="16" t="inlineStr">
        <is>
          <t>Mate</t>
        </is>
      </c>
      <c r="CO3" s="16" t="inlineStr">
        <is>
          <t>11:30</t>
        </is>
      </c>
      <c r="CP3" s="16" t="n">
        <v>100</v>
      </c>
      <c r="CQ3" s="16" t="n">
        <v>230</v>
      </c>
      <c r="CR3" s="16" t="inlineStr">
        <is>
          <t>Sí</t>
        </is>
      </c>
      <c r="CS3" s="16" t="n">
        <v>16</v>
      </c>
      <c r="CT3" s="16" t="inlineStr">
        <is>
          <t>Alto</t>
        </is>
      </c>
      <c r="CU3" s="16" t="inlineStr">
        <is>
          <t>33 %</t>
        </is>
      </c>
      <c r="CV3" s="16" t="inlineStr">
        <is>
          <t>Sí</t>
        </is>
      </c>
      <c r="CW3" s="16" t="n">
        <v>11</v>
      </c>
      <c r="CX3" s="16" t="inlineStr">
        <is>
          <t>8</t>
        </is>
      </c>
      <c r="CY3" s="16" t="inlineStr">
        <is>
          <t>Bajo</t>
        </is>
      </c>
    </row>
    <row r="4">
      <c r="A4" s="16" t="inlineStr">
        <is>
          <t>demo-3</t>
        </is>
      </c>
      <c r="B4" s="16" t="inlineStr">
        <is>
          <t>C1-0003</t>
        </is>
      </c>
      <c r="C4" s="16" t="inlineStr">
        <is>
          <t>402-61-4400</t>
        </is>
      </c>
      <c r="D4" s="16" t="n">
        <v>402</v>
      </c>
      <c r="E4" s="16" t="n">
        <v>61</v>
      </c>
      <c r="F4" s="16" t="inlineStr">
        <is>
          <t>4400</t>
        </is>
      </c>
      <c r="G4" s="17" t="n">
        <v>46302</v>
      </c>
      <c r="H4" s="16" t="inlineStr">
        <is>
          <t>16:08</t>
        </is>
      </c>
      <c r="J4" s="16" t="inlineStr">
        <is>
          <t>C</t>
        </is>
      </c>
      <c r="K4" s="16" t="inlineStr">
        <is>
          <t>1</t>
        </is>
      </c>
      <c r="L4" s="16" t="inlineStr">
        <is>
          <t>Encuestador C</t>
        </is>
      </c>
      <c r="M4" s="16" t="inlineStr">
        <is>
          <t>Puesto 1</t>
        </is>
      </c>
      <c r="N4" s="16" t="inlineStr">
        <is>
          <t>Sí</t>
        </is>
      </c>
      <c r="O4" s="16" t="inlineStr">
        <is>
          <t>Sí</t>
        </is>
      </c>
      <c r="P4" s="16" t="n">
        <v>39</v>
      </c>
      <c r="Q4" s="16" t="inlineStr">
        <is>
          <t>Sí</t>
        </is>
      </c>
      <c r="R4" s="16" t="inlineStr">
        <is>
          <t>Sí</t>
        </is>
      </c>
      <c r="S4" s="16" t="inlineStr">
        <is>
          <t>Sí</t>
        </is>
      </c>
      <c r="T4" s="16" t="inlineStr">
        <is>
          <t>finalizado</t>
        </is>
      </c>
      <c r="U4" s="16" t="inlineStr">
        <is>
          <t>2026-10-v2</t>
        </is>
      </c>
      <c r="V4" s="16" t="inlineStr">
        <is>
          <t>2026-10-07T15:00:00.000Z</t>
        </is>
      </c>
      <c r="W4" s="16" t="inlineStr">
        <is>
          <t>Argentina</t>
        </is>
      </c>
      <c r="Y4" s="16" t="inlineStr">
        <is>
          <t>Universitario incompleto</t>
        </is>
      </c>
      <c r="Z4" s="16" t="inlineStr">
        <is>
          <t>Sí</t>
        </is>
      </c>
      <c r="AA4" s="16" t="inlineStr">
        <is>
          <t>4</t>
        </is>
      </c>
      <c r="AB4" s="16" t="inlineStr">
        <is>
          <t>Más de 5</t>
        </is>
      </c>
      <c r="AC4" s="16" t="inlineStr">
        <is>
          <t>Inglés</t>
        </is>
      </c>
      <c r="AE4" s="16" t="inlineStr">
        <is>
          <t>Español</t>
        </is>
      </c>
      <c r="AG4" s="16" t="inlineStr">
        <is>
          <t>Argentina</t>
        </is>
      </c>
      <c r="AI4" s="16" t="inlineStr">
        <is>
          <t>Regular</t>
        </is>
      </c>
      <c r="AJ4" s="16" t="n">
        <v>5</v>
      </c>
      <c r="AK4" s="16" t="inlineStr">
        <is>
          <t>Viaje internacional</t>
        </is>
      </c>
      <c r="AL4" s="16" t="inlineStr">
        <is>
          <t>Una vez a la semana</t>
        </is>
      </c>
      <c r="AN4" s="16" t="inlineStr">
        <is>
          <t>Una vez a la semana</t>
        </is>
      </c>
      <c r="AP4" s="16" t="inlineStr">
        <is>
          <t>Empleado</t>
        </is>
      </c>
      <c r="AR4" s="16" t="inlineStr">
        <is>
          <t>Disconforme</t>
        </is>
      </c>
      <c r="AS4" s="16" t="inlineStr">
        <is>
          <t>Sí</t>
        </is>
      </c>
      <c r="AT4" s="16" t="n">
        <v>4</v>
      </c>
      <c r="AU4" s="16" t="inlineStr">
        <is>
          <t>Sí</t>
        </is>
      </c>
      <c r="AV4" s="16" t="inlineStr">
        <is>
          <t>En el camión al costado de la ruta</t>
        </is>
      </c>
      <c r="AX4" s="16" t="n">
        <v>6.5</v>
      </c>
      <c r="AY4" s="16" t="inlineStr">
        <is>
          <t>Todos los días</t>
        </is>
      </c>
      <c r="AZ4" s="16" t="inlineStr">
        <is>
          <t>Jugos artificiales; Café; Agua</t>
        </is>
      </c>
      <c r="BB4" s="16" t="inlineStr">
        <is>
          <t>Sí, siempre</t>
        </is>
      </c>
      <c r="BC4" s="16" t="inlineStr">
        <is>
          <t>Algunas veces</t>
        </is>
      </c>
      <c r="BD4" s="16" t="inlineStr">
        <is>
          <t>No</t>
        </is>
      </c>
      <c r="BE4" s="16" t="inlineStr">
        <is>
          <t>Parcialmente</t>
        </is>
      </c>
      <c r="BF4" s="16" t="inlineStr">
        <is>
          <t>Obra social</t>
        </is>
      </c>
      <c r="BG4" s="16" t="inlineStr">
        <is>
          <t>Sistema público</t>
        </is>
      </c>
      <c r="BH4" s="16" t="inlineStr">
        <is>
          <t>2 veces al año</t>
        </is>
      </c>
      <c r="BI4" s="16" t="inlineStr">
        <is>
          <t>Sistema privado</t>
        </is>
      </c>
      <c r="BJ4" s="16" t="inlineStr">
        <is>
          <t>Sí</t>
        </is>
      </c>
      <c r="BK4" s="16" t="inlineStr">
        <is>
          <t>Cervical</t>
        </is>
      </c>
      <c r="BL4" s="16" t="inlineStr">
        <is>
          <t>Medicamentos</t>
        </is>
      </c>
      <c r="BM4" s="16" t="inlineStr">
        <is>
          <t>Ibuprofeno</t>
        </is>
      </c>
      <c r="BN4" s="16" t="inlineStr">
        <is>
          <t>No tengo diagnóstico de enfermedad</t>
        </is>
      </c>
      <c r="BP4" s="16" t="inlineStr">
        <is>
          <t>Rara vez</t>
        </is>
      </c>
      <c r="BQ4" s="16" t="inlineStr">
        <is>
          <t>Energizantes (Speed, Monster, Red Bull, etc.)</t>
        </is>
      </c>
      <c r="BS4" s="16" t="inlineStr">
        <is>
          <t>Sí</t>
        </is>
      </c>
      <c r="BT4" s="16" t="inlineStr">
        <is>
          <t>Sí</t>
        </is>
      </c>
      <c r="BU4" s="16" t="inlineStr">
        <is>
          <t>Nunca</t>
        </is>
      </c>
      <c r="BV4" s="16" t="inlineStr">
        <is>
          <t>Sí</t>
        </is>
      </c>
      <c r="BW4" s="16" t="inlineStr">
        <is>
          <t>No</t>
        </is>
      </c>
      <c r="BX4" s="16" t="inlineStr">
        <is>
          <t>Varón</t>
        </is>
      </c>
      <c r="BY4" s="16" t="n">
        <v>85.90000000000001</v>
      </c>
      <c r="BZ4" s="16" t="n">
        <v>1.88</v>
      </c>
      <c r="CA4" s="16" t="n">
        <v>24.3</v>
      </c>
      <c r="CB4" s="16" t="n">
        <v>107</v>
      </c>
      <c r="CC4" s="16" t="n">
        <v>109</v>
      </c>
      <c r="CD4" s="16" t="n">
        <v>70</v>
      </c>
      <c r="CE4" s="16" t="inlineStr">
        <is>
          <t>No</t>
        </is>
      </c>
      <c r="CF4" s="16" t="inlineStr">
        <is>
          <t>Sí</t>
        </is>
      </c>
      <c r="CG4" s="16" t="inlineStr">
        <is>
          <t>No</t>
        </is>
      </c>
      <c r="CH4" s="16" t="inlineStr">
        <is>
          <t>Sí</t>
        </is>
      </c>
      <c r="CI4" s="16" t="inlineStr">
        <is>
          <t>No</t>
        </is>
      </c>
      <c r="CJ4" s="16" t="inlineStr">
        <is>
          <t>No</t>
        </is>
      </c>
      <c r="CK4" s="16" t="inlineStr">
        <is>
          <t>Sí</t>
        </is>
      </c>
      <c r="CL4" s="16" t="inlineStr">
        <is>
          <t>Sí</t>
        </is>
      </c>
      <c r="CM4" s="16" t="inlineStr">
        <is>
          <t>07:24</t>
        </is>
      </c>
      <c r="CN4" s="16" t="inlineStr">
        <is>
          <t>Mate</t>
        </is>
      </c>
      <c r="CO4" s="16" t="inlineStr">
        <is>
          <t>13:30</t>
        </is>
      </c>
      <c r="CP4" s="16" t="n">
        <v>87</v>
      </c>
      <c r="CQ4" s="16" t="n">
        <v>366</v>
      </c>
      <c r="CR4" s="16" t="inlineStr">
        <is>
          <t>Sí</t>
        </is>
      </c>
      <c r="CS4" s="16" t="n">
        <v>11</v>
      </c>
      <c r="CT4" s="16" t="inlineStr">
        <is>
          <t>Ligeramente elevado</t>
        </is>
      </c>
      <c r="CU4" s="16" t="inlineStr">
        <is>
          <t>4 %</t>
        </is>
      </c>
      <c r="CV4" s="16" t="inlineStr">
        <is>
          <t>Sí</t>
        </is>
      </c>
      <c r="CW4" s="16" t="n">
        <v>11</v>
      </c>
      <c r="CX4" s="16" t="inlineStr">
        <is>
          <t>8</t>
        </is>
      </c>
      <c r="CY4" s="16" t="inlineStr">
        <is>
          <t>Bajo</t>
        </is>
      </c>
    </row>
    <row r="5">
      <c r="A5" s="16" t="inlineStr">
        <is>
          <t>demo-4</t>
        </is>
      </c>
      <c r="B5" s="16" t="inlineStr">
        <is>
          <t>A1-0004</t>
        </is>
      </c>
      <c r="C5" s="16" t="inlineStr">
        <is>
          <t>004-37-4612</t>
        </is>
      </c>
      <c r="D5" s="16" t="n">
        <v>4</v>
      </c>
      <c r="E5" s="16" t="n">
        <v>37</v>
      </c>
      <c r="F5" s="16" t="inlineStr">
        <is>
          <t>4612</t>
        </is>
      </c>
      <c r="G5" s="17" t="n">
        <v>46290</v>
      </c>
      <c r="H5" s="16" t="inlineStr">
        <is>
          <t>12:09</t>
        </is>
      </c>
      <c r="J5" s="16" t="inlineStr">
        <is>
          <t>A</t>
        </is>
      </c>
      <c r="K5" s="16" t="inlineStr">
        <is>
          <t>1</t>
        </is>
      </c>
      <c r="L5" s="16" t="inlineStr">
        <is>
          <t>Encuestador A</t>
        </is>
      </c>
      <c r="M5" s="16" t="inlineStr">
        <is>
          <t>Puesto 1</t>
        </is>
      </c>
      <c r="N5" s="16" t="inlineStr">
        <is>
          <t>Sí</t>
        </is>
      </c>
      <c r="O5" s="16" t="inlineStr">
        <is>
          <t>Sí</t>
        </is>
      </c>
      <c r="P5" s="16" t="n">
        <v>39</v>
      </c>
      <c r="Q5" s="16" t="inlineStr">
        <is>
          <t>Sí</t>
        </is>
      </c>
      <c r="R5" s="16" t="inlineStr">
        <is>
          <t>Sí</t>
        </is>
      </c>
      <c r="S5" s="16" t="inlineStr">
        <is>
          <t>Sí</t>
        </is>
      </c>
      <c r="T5" s="16" t="inlineStr">
        <is>
          <t>finalizado</t>
        </is>
      </c>
      <c r="U5" s="16" t="inlineStr">
        <is>
          <t>2026-10-v2</t>
        </is>
      </c>
      <c r="V5" s="16" t="inlineStr">
        <is>
          <t>2026-09-25T15:00:00.000Z</t>
        </is>
      </c>
      <c r="W5" s="16" t="inlineStr">
        <is>
          <t>Argentina</t>
        </is>
      </c>
      <c r="Y5" s="16" t="inlineStr">
        <is>
          <t>Secundaria incompleta</t>
        </is>
      </c>
      <c r="Z5" s="16" t="inlineStr">
        <is>
          <t>Sí</t>
        </is>
      </c>
      <c r="AA5" s="16" t="inlineStr">
        <is>
          <t>1</t>
        </is>
      </c>
      <c r="AB5" s="16" t="inlineStr">
        <is>
          <t>2</t>
        </is>
      </c>
      <c r="AC5" s="16" t="inlineStr">
        <is>
          <t>Guaraní; Español</t>
        </is>
      </c>
      <c r="AE5" s="16" t="inlineStr">
        <is>
          <t>Español</t>
        </is>
      </c>
      <c r="AG5" s="16" t="inlineStr">
        <is>
          <t>Argentina</t>
        </is>
      </c>
      <c r="AI5" s="16" t="inlineStr">
        <is>
          <t>Regular</t>
        </is>
      </c>
      <c r="AJ5" s="16" t="n">
        <v>2</v>
      </c>
      <c r="AK5" s="16" t="inlineStr">
        <is>
          <t>Viaje interprovincial</t>
        </is>
      </c>
      <c r="AL5" s="16" t="inlineStr">
        <is>
          <t>Quincenalmente</t>
        </is>
      </c>
      <c r="AN5" s="16" t="inlineStr">
        <is>
          <t>3 veces por semana</t>
        </is>
      </c>
      <c r="AP5" s="16" t="inlineStr">
        <is>
          <t>Empleado</t>
        </is>
      </c>
      <c r="AR5" s="16" t="inlineStr">
        <is>
          <t>Disconforme</t>
        </is>
      </c>
      <c r="AS5" s="16" t="inlineStr">
        <is>
          <t>Sí</t>
        </is>
      </c>
      <c r="AT5" s="16" t="n">
        <v>8.800000000000001</v>
      </c>
      <c r="AU5" s="16" t="inlineStr">
        <is>
          <t>Sí</t>
        </is>
      </c>
      <c r="AV5" s="16" t="inlineStr">
        <is>
          <t>Estaciones de servicio; Paradores</t>
        </is>
      </c>
      <c r="AX5" s="16" t="n">
        <v>6.1</v>
      </c>
      <c r="AY5" s="16" t="inlineStr">
        <is>
          <t>Casi nunca</t>
        </is>
      </c>
      <c r="AZ5" s="16" t="inlineStr">
        <is>
          <t>Gaseosas; Café</t>
        </is>
      </c>
      <c r="BB5" s="16" t="inlineStr">
        <is>
          <t>Nunca</t>
        </is>
      </c>
      <c r="BC5" s="16" t="inlineStr">
        <is>
          <t>No</t>
        </is>
      </c>
      <c r="BD5" s="16" t="inlineStr">
        <is>
          <t>No</t>
        </is>
      </c>
      <c r="BE5" s="16" t="inlineStr">
        <is>
          <t>Parcialmente</t>
        </is>
      </c>
      <c r="BF5" s="16" t="inlineStr">
        <is>
          <t>Obra social</t>
        </is>
      </c>
      <c r="BG5" s="16" t="inlineStr">
        <is>
          <t>Sistema privado</t>
        </is>
      </c>
      <c r="BH5" s="16" t="inlineStr">
        <is>
          <t>Una vez al año</t>
        </is>
      </c>
      <c r="BI5" s="16" t="inlineStr">
        <is>
          <t>Sistema público; Otros (medicina tradicional, alternativa, etc.)</t>
        </is>
      </c>
      <c r="BJ5" s="16" t="inlineStr">
        <is>
          <t>No</t>
        </is>
      </c>
      <c r="BL5" s="16" t="inlineStr">
        <is>
          <t>Medicamentos</t>
        </is>
      </c>
      <c r="BM5" s="16" t="inlineStr">
        <is>
          <t>Ibuprofeno</t>
        </is>
      </c>
      <c r="BN5" s="16" t="inlineStr">
        <is>
          <t>Musculoesqueléticos; Digestivas</t>
        </is>
      </c>
      <c r="BP5" s="16" t="inlineStr">
        <is>
          <t>Rara vez</t>
        </is>
      </c>
      <c r="BQ5" s="16" t="inlineStr">
        <is>
          <t>Café</t>
        </is>
      </c>
      <c r="BS5" s="16" t="inlineStr">
        <is>
          <t>No</t>
        </is>
      </c>
      <c r="BT5" s="16" t="inlineStr">
        <is>
          <t>No</t>
        </is>
      </c>
      <c r="BU5" s="16" t="inlineStr">
        <is>
          <t>A veces</t>
        </is>
      </c>
      <c r="BV5" s="16" t="inlineStr">
        <is>
          <t>No</t>
        </is>
      </c>
      <c r="BW5" s="16" t="inlineStr">
        <is>
          <t>No</t>
        </is>
      </c>
      <c r="BX5" s="16" t="inlineStr">
        <is>
          <t>Varón</t>
        </is>
      </c>
      <c r="BY5" s="16" t="n">
        <v>69.40000000000001</v>
      </c>
      <c r="BZ5" s="16" t="n">
        <v>1.7</v>
      </c>
      <c r="CA5" s="16" t="n">
        <v>24</v>
      </c>
      <c r="CB5" s="16" t="n">
        <v>82</v>
      </c>
      <c r="CC5" s="16" t="n">
        <v>138</v>
      </c>
      <c r="CD5" s="16" t="n">
        <v>88</v>
      </c>
      <c r="CE5" s="16" t="inlineStr">
        <is>
          <t>No</t>
        </is>
      </c>
      <c r="CF5" s="16" t="inlineStr">
        <is>
          <t>Sí</t>
        </is>
      </c>
      <c r="CG5" s="16" t="inlineStr">
        <is>
          <t>No</t>
        </is>
      </c>
      <c r="CH5" s="16" t="inlineStr">
        <is>
          <t>No</t>
        </is>
      </c>
      <c r="CI5" s="16" t="inlineStr">
        <is>
          <t>No</t>
        </is>
      </c>
      <c r="CJ5" s="16" t="inlineStr">
        <is>
          <t>No</t>
        </is>
      </c>
      <c r="CK5" s="16" t="inlineStr">
        <is>
          <t>Sí</t>
        </is>
      </c>
      <c r="CL5" s="16" t="inlineStr">
        <is>
          <t>Sí</t>
        </is>
      </c>
      <c r="CM5" s="16" t="inlineStr">
        <is>
          <t>07:47</t>
        </is>
      </c>
      <c r="CN5" s="16" t="inlineStr">
        <is>
          <t>Mate</t>
        </is>
      </c>
      <c r="CO5" s="16" t="inlineStr">
        <is>
          <t>12:30</t>
        </is>
      </c>
      <c r="CP5" s="16" t="n">
        <v>181</v>
      </c>
      <c r="CQ5" s="16" t="n">
        <v>283</v>
      </c>
      <c r="CR5" s="16" t="inlineStr">
        <is>
          <t>Sí</t>
        </is>
      </c>
      <c r="CS5" s="16" t="n">
        <v>2</v>
      </c>
      <c r="CT5" s="16" t="inlineStr">
        <is>
          <t>Bajo</t>
        </is>
      </c>
      <c r="CU5" s="16" t="inlineStr">
        <is>
          <t>1 %</t>
        </is>
      </c>
      <c r="CV5" s="16" t="inlineStr">
        <is>
          <t>Sí</t>
        </is>
      </c>
      <c r="CW5" s="16" t="n">
        <v>5</v>
      </c>
      <c r="CX5" s="16" t="inlineStr">
        <is>
          <t>2</t>
        </is>
      </c>
      <c r="CY5" s="16" t="inlineStr">
        <is>
          <t>Bajo</t>
        </is>
      </c>
    </row>
    <row r="6">
      <c r="A6" s="16" t="inlineStr">
        <is>
          <t>demo-5</t>
        </is>
      </c>
      <c r="B6" s="16" t="inlineStr">
        <is>
          <t>C1-0005</t>
        </is>
      </c>
      <c r="C6" s="16" t="inlineStr">
        <is>
          <t>404-59-4600</t>
        </is>
      </c>
      <c r="D6" s="16" t="n">
        <v>404</v>
      </c>
      <c r="E6" s="16" t="n">
        <v>59</v>
      </c>
      <c r="F6" s="16" t="inlineStr">
        <is>
          <t>4600</t>
        </is>
      </c>
      <c r="G6" s="17" t="n">
        <v>46294</v>
      </c>
      <c r="H6" s="16" t="inlineStr">
        <is>
          <t>14:02</t>
        </is>
      </c>
      <c r="J6" s="16" t="inlineStr">
        <is>
          <t>C</t>
        </is>
      </c>
      <c r="K6" s="16" t="inlineStr">
        <is>
          <t>1</t>
        </is>
      </c>
      <c r="L6" s="16" t="inlineStr">
        <is>
          <t>Encuestador C</t>
        </is>
      </c>
      <c r="M6" s="16" t="inlineStr">
        <is>
          <t>Puesto 2</t>
        </is>
      </c>
      <c r="N6" s="16" t="inlineStr">
        <is>
          <t>Sí</t>
        </is>
      </c>
      <c r="O6" s="16" t="inlineStr">
        <is>
          <t>No</t>
        </is>
      </c>
      <c r="P6" s="16" t="n">
        <v>39</v>
      </c>
      <c r="Q6" s="16" t="inlineStr">
        <is>
          <t>Sí</t>
        </is>
      </c>
      <c r="R6" s="16" t="inlineStr">
        <is>
          <t>Sí</t>
        </is>
      </c>
      <c r="S6" s="16" t="inlineStr">
        <is>
          <t>Sí</t>
        </is>
      </c>
      <c r="T6" s="16" t="inlineStr">
        <is>
          <t>borrador</t>
        </is>
      </c>
      <c r="U6" s="16" t="inlineStr">
        <is>
          <t>2026-10-v2</t>
        </is>
      </c>
      <c r="V6" s="16" t="inlineStr">
        <is>
          <t>2026-09-29T15:00:00.000Z</t>
        </is>
      </c>
      <c r="W6" s="16" t="inlineStr">
        <is>
          <t>Argentina</t>
        </is>
      </c>
      <c r="Y6" s="16" t="inlineStr">
        <is>
          <t>Primaria completa</t>
        </is>
      </c>
      <c r="Z6" s="16" t="inlineStr">
        <is>
          <t>Sí</t>
        </is>
      </c>
      <c r="AA6" s="16" t="inlineStr">
        <is>
          <t>3</t>
        </is>
      </c>
      <c r="AB6" s="16" t="inlineStr">
        <is>
          <t>1</t>
        </is>
      </c>
      <c r="AC6" s="16" t="inlineStr">
        <is>
          <t>Portugués</t>
        </is>
      </c>
      <c r="AE6" s="16" t="inlineStr">
        <is>
          <t>Español</t>
        </is>
      </c>
      <c r="AG6" s="16" t="inlineStr">
        <is>
          <t>Argentina</t>
        </is>
      </c>
      <c r="AI6" s="16" t="inlineStr">
        <is>
          <t>Malo</t>
        </is>
      </c>
      <c r="AJ6" s="16" t="n">
        <v>25</v>
      </c>
      <c r="AK6" s="16" t="inlineStr">
        <is>
          <t>Viaje interprovincial</t>
        </is>
      </c>
      <c r="AL6" s="16" t="inlineStr">
        <is>
          <t>Quincenalmente</t>
        </is>
      </c>
      <c r="AN6" s="16" t="inlineStr">
        <is>
          <t>3 veces por semana</t>
        </is>
      </c>
      <c r="AP6" s="16" t="inlineStr">
        <is>
          <t>Otro</t>
        </is>
      </c>
      <c r="AR6" s="16" t="inlineStr">
        <is>
          <t>Parcialmente conforme</t>
        </is>
      </c>
      <c r="AS6" s="16" t="inlineStr">
        <is>
          <t>Sí</t>
        </is>
      </c>
      <c r="AT6" s="16" t="n">
        <v>4.7</v>
      </c>
      <c r="AU6" s="16" t="inlineStr">
        <is>
          <t>Sí</t>
        </is>
      </c>
      <c r="AV6" s="16" t="inlineStr">
        <is>
          <t>Paradores; Estaciones de servicio</t>
        </is>
      </c>
      <c r="AX6" s="16" t="n">
        <v>7.7</v>
      </c>
      <c r="AY6" s="16" t="inlineStr">
        <is>
          <t>Todos los días</t>
        </is>
      </c>
      <c r="AZ6" s="16" t="inlineStr">
        <is>
          <t>Agua; Jugos artificiales; Café</t>
        </is>
      </c>
      <c r="BB6" s="16" t="inlineStr">
        <is>
          <t>Nunca</t>
        </is>
      </c>
      <c r="BC6" s="16" t="inlineStr">
        <is>
          <t>No</t>
        </is>
      </c>
      <c r="BD6" s="16" t="inlineStr">
        <is>
          <t>No</t>
        </is>
      </c>
      <c r="BE6" s="16" t="inlineStr">
        <is>
          <t>Parcialmente</t>
        </is>
      </c>
      <c r="BF6" s="16" t="inlineStr">
        <is>
          <t>Obra social</t>
        </is>
      </c>
      <c r="BG6" s="16" t="inlineStr">
        <is>
          <t>Sistema público</t>
        </is>
      </c>
      <c r="BH6" s="16" t="inlineStr">
        <is>
          <t>Una vez al año</t>
        </is>
      </c>
      <c r="BI6" s="16" t="inlineStr">
        <is>
          <t>Sistema privado</t>
        </is>
      </c>
      <c r="BJ6" s="16" t="inlineStr">
        <is>
          <t>No</t>
        </is>
      </c>
      <c r="BL6" s="16" t="inlineStr">
        <is>
          <t>Medicamentos; Hierbas</t>
        </is>
      </c>
      <c r="BM6" s="16" t="inlineStr">
        <is>
          <t>Ibuprofeno</t>
        </is>
      </c>
      <c r="BN6" s="16" t="inlineStr">
        <is>
          <t>Musculoesqueléticos; Digestivas</t>
        </is>
      </c>
      <c r="BP6" s="16" t="inlineStr">
        <is>
          <t>Una vez a la semana</t>
        </is>
      </c>
      <c r="BQ6" s="16" t="inlineStr">
        <is>
          <t>Café</t>
        </is>
      </c>
      <c r="BS6" s="16" t="inlineStr">
        <is>
          <t>Sí</t>
        </is>
      </c>
      <c r="BT6" s="16" t="inlineStr">
        <is>
          <t>Sí</t>
        </is>
      </c>
      <c r="BU6" s="16" t="inlineStr">
        <is>
          <t>A veces</t>
        </is>
      </c>
      <c r="BV6" s="16" t="inlineStr">
        <is>
          <t>Sí</t>
        </is>
      </c>
      <c r="BW6" s="16" t="inlineStr">
        <is>
          <t>No</t>
        </is>
      </c>
      <c r="BX6" s="16" t="inlineStr">
        <is>
          <t>Varón</t>
        </is>
      </c>
      <c r="BY6" s="16" t="n">
        <v>88.2</v>
      </c>
      <c r="BZ6" s="16" t="n">
        <v>1.65</v>
      </c>
      <c r="CA6" s="16" t="n">
        <v>32.4</v>
      </c>
      <c r="CB6" s="16" t="n">
        <v>107</v>
      </c>
      <c r="CC6" s="16" t="n">
        <v>132</v>
      </c>
      <c r="CD6" s="16" t="n">
        <v>84</v>
      </c>
      <c r="CE6" s="16" t="inlineStr">
        <is>
          <t>No</t>
        </is>
      </c>
      <c r="CF6" s="16" t="inlineStr">
        <is>
          <t>Sí</t>
        </is>
      </c>
      <c r="CG6" s="16" t="inlineStr">
        <is>
          <t>Sí</t>
        </is>
      </c>
      <c r="CH6" s="16" t="inlineStr">
        <is>
          <t>No</t>
        </is>
      </c>
      <c r="CI6" s="16" t="inlineStr">
        <is>
          <t>No</t>
        </is>
      </c>
      <c r="CJ6" s="16" t="inlineStr">
        <is>
          <t>No</t>
        </is>
      </c>
      <c r="CK6" s="16" t="inlineStr">
        <is>
          <t>Sí</t>
        </is>
      </c>
      <c r="CL6" s="16" t="inlineStr">
        <is>
          <t>Sí</t>
        </is>
      </c>
      <c r="CM6" s="16" t="inlineStr">
        <is>
          <t>07:27</t>
        </is>
      </c>
      <c r="CN6" s="16" t="inlineStr">
        <is>
          <t>Mate</t>
        </is>
      </c>
      <c r="CO6" s="16" t="inlineStr">
        <is>
          <t>12:30</t>
        </is>
      </c>
      <c r="CP6" s="16" t="n">
        <v>131</v>
      </c>
      <c r="CQ6" s="16" t="n">
        <v>303</v>
      </c>
      <c r="CR6" s="16" t="inlineStr">
        <is>
          <t>Sí</t>
        </is>
      </c>
      <c r="CS6" s="16" t="n">
        <v>12</v>
      </c>
      <c r="CT6" s="16" t="inlineStr">
        <is>
          <t>Moderado</t>
        </is>
      </c>
      <c r="CU6" s="16" t="inlineStr">
        <is>
          <t>17 %</t>
        </is>
      </c>
      <c r="CV6" s="16" t="inlineStr">
        <is>
          <t>Sí</t>
        </is>
      </c>
      <c r="CW6" s="16" t="n">
        <v>14</v>
      </c>
      <c r="CX6" s="16" t="inlineStr">
        <is>
          <t>16</t>
        </is>
      </c>
      <c r="CY6" s="16" t="inlineStr">
        <is>
          <t>Moderado</t>
        </is>
      </c>
    </row>
    <row r="7">
      <c r="A7" s="16" t="inlineStr">
        <is>
          <t>demo-6</t>
        </is>
      </c>
      <c r="B7" s="16" t="inlineStr">
        <is>
          <t>C1-0006</t>
        </is>
      </c>
      <c r="C7" s="16" t="inlineStr">
        <is>
          <t>405-58-4630</t>
        </is>
      </c>
      <c r="D7" s="16" t="n">
        <v>405</v>
      </c>
      <c r="E7" s="16" t="n">
        <v>58</v>
      </c>
      <c r="F7" s="16" t="inlineStr">
        <is>
          <t>4630</t>
        </is>
      </c>
      <c r="G7" s="17" t="n">
        <v>46302</v>
      </c>
      <c r="H7" s="16" t="inlineStr">
        <is>
          <t>10:07</t>
        </is>
      </c>
      <c r="J7" s="16" t="inlineStr">
        <is>
          <t>C</t>
        </is>
      </c>
      <c r="K7" s="16" t="inlineStr">
        <is>
          <t>1</t>
        </is>
      </c>
      <c r="L7" s="16" t="inlineStr">
        <is>
          <t>Encuestador C</t>
        </is>
      </c>
      <c r="M7" s="16" t="inlineStr">
        <is>
          <t>Puesto 2</t>
        </is>
      </c>
      <c r="N7" s="16" t="inlineStr">
        <is>
          <t>Sí</t>
        </is>
      </c>
      <c r="O7" s="16" t="inlineStr">
        <is>
          <t>No</t>
        </is>
      </c>
      <c r="P7" s="16" t="n">
        <v>38</v>
      </c>
      <c r="Q7" s="16" t="inlineStr">
        <is>
          <t>Sí</t>
        </is>
      </c>
      <c r="R7" s="16" t="inlineStr">
        <is>
          <t>Sí</t>
        </is>
      </c>
      <c r="S7" s="16" t="inlineStr">
        <is>
          <t>Sí</t>
        </is>
      </c>
      <c r="T7" s="16" t="inlineStr">
        <is>
          <t>finalizado</t>
        </is>
      </c>
      <c r="U7" s="16" t="inlineStr">
        <is>
          <t>2026-10-v2</t>
        </is>
      </c>
      <c r="V7" s="16" t="inlineStr">
        <is>
          <t>2026-10-07T15:00:00.000Z</t>
        </is>
      </c>
      <c r="W7" s="16" t="inlineStr">
        <is>
          <t>Argentina</t>
        </is>
      </c>
      <c r="Y7" s="16" t="inlineStr">
        <is>
          <t>Secundaria incompleta</t>
        </is>
      </c>
      <c r="Z7" s="16" t="inlineStr">
        <is>
          <t>No</t>
        </is>
      </c>
      <c r="AA7" s="16" t="inlineStr">
        <is>
          <t>Más de 5</t>
        </is>
      </c>
      <c r="AB7" s="16" t="inlineStr">
        <is>
          <t>2</t>
        </is>
      </c>
      <c r="AC7" s="16" t="inlineStr">
        <is>
          <t>Inglés</t>
        </is>
      </c>
      <c r="AE7" s="16" t="inlineStr">
        <is>
          <t>Español</t>
        </is>
      </c>
      <c r="AG7" s="16" t="inlineStr">
        <is>
          <t>Argentina</t>
        </is>
      </c>
      <c r="AI7" s="16" t="inlineStr">
        <is>
          <t>Malo</t>
        </is>
      </c>
      <c r="AJ7" s="16" t="n">
        <v>21</v>
      </c>
      <c r="AK7" s="16" t="inlineStr">
        <is>
          <t>Viaje interprovincial</t>
        </is>
      </c>
      <c r="AL7" s="16" t="inlineStr">
        <is>
          <t>2 veces por semana</t>
        </is>
      </c>
      <c r="AN7" s="16" t="inlineStr">
        <is>
          <t>3 veces por semana</t>
        </is>
      </c>
      <c r="AP7" s="16" t="inlineStr">
        <is>
          <t>Dueño del camión</t>
        </is>
      </c>
      <c r="AR7" s="16" t="inlineStr">
        <is>
          <t>Disconforme</t>
        </is>
      </c>
      <c r="AS7" s="16" t="inlineStr">
        <is>
          <t>Sí</t>
        </is>
      </c>
      <c r="AT7" s="16" t="n">
        <v>4.2</v>
      </c>
      <c r="AU7" s="16" t="inlineStr">
        <is>
          <t>Sí</t>
        </is>
      </c>
      <c r="AV7" s="16" t="inlineStr">
        <is>
          <t>En el camión al costado de la ruta</t>
        </is>
      </c>
      <c r="AX7" s="16" t="n">
        <v>7.3</v>
      </c>
      <c r="AY7" s="16" t="inlineStr">
        <is>
          <t>Todos los días</t>
        </is>
      </c>
      <c r="AZ7" s="16" t="inlineStr">
        <is>
          <t>Agua; Gaseosas</t>
        </is>
      </c>
      <c r="BB7" s="16" t="inlineStr">
        <is>
          <t>Casi nunca</t>
        </is>
      </c>
      <c r="BC7" s="16" t="inlineStr">
        <is>
          <t>Algunas veces</t>
        </is>
      </c>
      <c r="BD7" s="16" t="inlineStr">
        <is>
          <t>No</t>
        </is>
      </c>
      <c r="BE7" s="16" t="inlineStr">
        <is>
          <t>Sí</t>
        </is>
      </c>
      <c r="BF7" s="16" t="inlineStr">
        <is>
          <t>Obra social; Prepaga</t>
        </is>
      </c>
      <c r="BG7" s="16" t="inlineStr">
        <is>
          <t>Sistema público</t>
        </is>
      </c>
      <c r="BH7" s="16" t="inlineStr">
        <is>
          <t>Solo cuando me siento mal</t>
        </is>
      </c>
      <c r="BI7" s="16" t="inlineStr">
        <is>
          <t>Sistema público; Otros (medicina tradicional, alternativa, etc.)</t>
        </is>
      </c>
      <c r="BJ7" s="16" t="inlineStr">
        <is>
          <t>Sí</t>
        </is>
      </c>
      <c r="BK7" s="16" t="inlineStr">
        <is>
          <t>Cervical</t>
        </is>
      </c>
      <c r="BL7" s="16" t="inlineStr">
        <is>
          <t>Ninguno</t>
        </is>
      </c>
      <c r="BN7" s="16" t="inlineStr">
        <is>
          <t>Musculoesqueléticos; Digestivas</t>
        </is>
      </c>
      <c r="BP7" s="16" t="inlineStr">
        <is>
          <t>Nunca</t>
        </is>
      </c>
      <c r="BQ7" s="16" t="inlineStr">
        <is>
          <t>Café; Coca-Cola</t>
        </is>
      </c>
      <c r="BS7" s="16" t="inlineStr">
        <is>
          <t>No</t>
        </is>
      </c>
      <c r="BT7" s="16" t="inlineStr">
        <is>
          <t>No</t>
        </is>
      </c>
      <c r="BU7" s="16" t="inlineStr">
        <is>
          <t>Siempre</t>
        </is>
      </c>
      <c r="BV7" s="16" t="inlineStr">
        <is>
          <t>Sí</t>
        </is>
      </c>
      <c r="BW7" s="16" t="inlineStr">
        <is>
          <t>No</t>
        </is>
      </c>
      <c r="BX7" s="16" t="inlineStr">
        <is>
          <t>Varón</t>
        </is>
      </c>
      <c r="BY7" s="16" t="n">
        <v>77.8</v>
      </c>
      <c r="BZ7" s="16" t="n">
        <v>1.72</v>
      </c>
      <c r="CA7" s="16" t="n">
        <v>26.3</v>
      </c>
      <c r="CB7" s="16" t="n">
        <v>104</v>
      </c>
      <c r="CC7" s="16" t="n">
        <v>153</v>
      </c>
      <c r="CD7" s="16" t="n">
        <v>97</v>
      </c>
      <c r="CE7" s="16" t="inlineStr">
        <is>
          <t>No</t>
        </is>
      </c>
      <c r="CF7" s="16" t="inlineStr">
        <is>
          <t>No</t>
        </is>
      </c>
      <c r="CG7" s="16" t="inlineStr">
        <is>
          <t>Sí</t>
        </is>
      </c>
      <c r="CH7" s="16" t="inlineStr">
        <is>
          <t>Sí</t>
        </is>
      </c>
      <c r="CI7" s="16" t="inlineStr">
        <is>
          <t>No</t>
        </is>
      </c>
      <c r="CJ7" s="16" t="inlineStr">
        <is>
          <t>Sí, primer grado</t>
        </is>
      </c>
      <c r="CK7" s="16" t="inlineStr">
        <is>
          <t>Sí</t>
        </is>
      </c>
      <c r="CL7" s="16" t="inlineStr">
        <is>
          <t>Sí</t>
        </is>
      </c>
      <c r="CM7" s="16" t="inlineStr">
        <is>
          <t>07:34</t>
        </is>
      </c>
      <c r="CN7" s="16" t="inlineStr">
        <is>
          <t>Mate</t>
        </is>
      </c>
      <c r="CO7" s="16" t="inlineStr">
        <is>
          <t>13:30</t>
        </is>
      </c>
      <c r="CP7" s="16" t="n">
        <v>116</v>
      </c>
      <c r="CQ7" s="16" t="n">
        <v>356</v>
      </c>
      <c r="CR7" s="16" t="inlineStr">
        <is>
          <t>Sí</t>
        </is>
      </c>
      <c r="CS7" s="16" t="n">
        <v>18</v>
      </c>
      <c r="CT7" s="16" t="inlineStr">
        <is>
          <t>Alto</t>
        </is>
      </c>
      <c r="CU7" s="16" t="inlineStr">
        <is>
          <t>33 %</t>
        </is>
      </c>
      <c r="CV7" s="16" t="inlineStr">
        <is>
          <t>Sí</t>
        </is>
      </c>
      <c r="CW7" s="16" t="n">
        <v>14</v>
      </c>
      <c r="CX7" s="16" t="inlineStr">
        <is>
          <t>16</t>
        </is>
      </c>
      <c r="CY7" s="16" t="inlineStr">
        <is>
          <t>Moderado</t>
        </is>
      </c>
    </row>
    <row r="8">
      <c r="A8" s="16" t="inlineStr">
        <is>
          <t>demo-7</t>
        </is>
      </c>
      <c r="B8" s="16" t="inlineStr">
        <is>
          <t>C1-0007</t>
        </is>
      </c>
      <c r="C8" s="16" t="inlineStr">
        <is>
          <t>406-41-4630</t>
        </is>
      </c>
      <c r="D8" s="16" t="n">
        <v>406</v>
      </c>
      <c r="E8" s="16" t="n">
        <v>41</v>
      </c>
      <c r="F8" s="16" t="inlineStr">
        <is>
          <t>4630</t>
        </is>
      </c>
      <c r="G8" s="17" t="n">
        <v>46291</v>
      </c>
      <c r="H8" s="16" t="inlineStr">
        <is>
          <t>16:00</t>
        </is>
      </c>
      <c r="J8" s="16" t="inlineStr">
        <is>
          <t>C</t>
        </is>
      </c>
      <c r="K8" s="16" t="inlineStr">
        <is>
          <t>1</t>
        </is>
      </c>
      <c r="L8" s="16" t="inlineStr">
        <is>
          <t>Encuestador C</t>
        </is>
      </c>
      <c r="M8" s="16" t="inlineStr">
        <is>
          <t>Puesto 1</t>
        </is>
      </c>
      <c r="N8" s="16" t="inlineStr">
        <is>
          <t>Sí</t>
        </is>
      </c>
      <c r="O8" s="16" t="inlineStr">
        <is>
          <t>Sí</t>
        </is>
      </c>
      <c r="P8" s="16" t="n">
        <v>39</v>
      </c>
      <c r="Q8" s="16" t="inlineStr">
        <is>
          <t>Sí</t>
        </is>
      </c>
      <c r="R8" s="16" t="inlineStr">
        <is>
          <t>Sí</t>
        </is>
      </c>
      <c r="S8" s="16" t="inlineStr">
        <is>
          <t>No</t>
        </is>
      </c>
      <c r="T8" s="16" t="inlineStr">
        <is>
          <t>finalizado</t>
        </is>
      </c>
      <c r="U8" s="16" t="inlineStr">
        <is>
          <t>2026-10-v2</t>
        </is>
      </c>
      <c r="V8" s="16" t="inlineStr">
        <is>
          <t>2026-09-26T15:00:00.000Z</t>
        </is>
      </c>
      <c r="W8" s="16" t="inlineStr">
        <is>
          <t>Argentina</t>
        </is>
      </c>
      <c r="Y8" s="16" t="inlineStr">
        <is>
          <t>Secundaria completa</t>
        </is>
      </c>
      <c r="Z8" s="16" t="inlineStr">
        <is>
          <t>Sí</t>
        </is>
      </c>
      <c r="AA8" s="16" t="inlineStr">
        <is>
          <t>4</t>
        </is>
      </c>
      <c r="AB8" s="16" t="inlineStr">
        <is>
          <t>3</t>
        </is>
      </c>
      <c r="AC8" s="16" t="inlineStr">
        <is>
          <t>Inglés</t>
        </is>
      </c>
      <c r="AE8" s="16" t="inlineStr">
        <is>
          <t>Español</t>
        </is>
      </c>
      <c r="AG8" s="16" t="inlineStr">
        <is>
          <t>Argentina</t>
        </is>
      </c>
      <c r="AI8" s="16" t="inlineStr">
        <is>
          <t>Regular</t>
        </is>
      </c>
      <c r="AJ8" s="16" t="n">
        <v>10</v>
      </c>
      <c r="AK8" s="16" t="inlineStr">
        <is>
          <t>Viaje interprovincial</t>
        </is>
      </c>
      <c r="AL8" s="16" t="inlineStr">
        <is>
          <t>Una vez al mes</t>
        </is>
      </c>
      <c r="AN8" s="16" t="inlineStr">
        <is>
          <t>Diariamente</t>
        </is>
      </c>
      <c r="AP8" s="16" t="inlineStr">
        <is>
          <t>Empleado</t>
        </is>
      </c>
      <c r="AR8" s="16" t="inlineStr">
        <is>
          <t>Disconforme</t>
        </is>
      </c>
      <c r="AS8" s="16" t="inlineStr">
        <is>
          <t>Sí</t>
        </is>
      </c>
      <c r="AT8" s="16" t="n">
        <v>5.9</v>
      </c>
      <c r="AU8" s="16" t="inlineStr">
        <is>
          <t>Sí</t>
        </is>
      </c>
      <c r="AV8" s="16" t="inlineStr">
        <is>
          <t>Estaciones de servicio</t>
        </is>
      </c>
      <c r="AX8" s="16" t="n">
        <v>5.4</v>
      </c>
      <c r="AY8" s="16" t="inlineStr">
        <is>
          <t>Casi nunca</t>
        </is>
      </c>
      <c r="AZ8" s="16" t="inlineStr">
        <is>
          <t>Jugos artificiales</t>
        </is>
      </c>
      <c r="BB8" s="16" t="inlineStr">
        <is>
          <t>Sí, siempre</t>
        </is>
      </c>
      <c r="BC8" s="16" t="inlineStr">
        <is>
          <t>Algunas veces</t>
        </is>
      </c>
      <c r="BD8" s="16" t="inlineStr">
        <is>
          <t>No</t>
        </is>
      </c>
      <c r="BE8" s="16" t="inlineStr">
        <is>
          <t>Sí</t>
        </is>
      </c>
      <c r="BF8" s="16" t="inlineStr">
        <is>
          <t>Obra social</t>
        </is>
      </c>
      <c r="BG8" s="16" t="inlineStr">
        <is>
          <t>Ninguno</t>
        </is>
      </c>
      <c r="BH8" s="16" t="inlineStr">
        <is>
          <t>Una vez al año</t>
        </is>
      </c>
      <c r="BI8" s="16" t="inlineStr">
        <is>
          <t>Sistema público; Otros (medicina tradicional, alternativa, etc.)</t>
        </is>
      </c>
      <c r="BJ8" s="16" t="inlineStr">
        <is>
          <t>No</t>
        </is>
      </c>
      <c r="BL8" s="16" t="inlineStr">
        <is>
          <t>Medicamentos</t>
        </is>
      </c>
      <c r="BM8" s="16" t="inlineStr">
        <is>
          <t>Ibuprofeno</t>
        </is>
      </c>
      <c r="BN8" s="16" t="inlineStr">
        <is>
          <t>Musculoesqueléticos</t>
        </is>
      </c>
      <c r="BP8" s="16" t="inlineStr">
        <is>
          <t>2 a 3 veces por semana</t>
        </is>
      </c>
      <c r="BQ8" s="16" t="inlineStr">
        <is>
          <t>Café</t>
        </is>
      </c>
      <c r="BS8" s="16" t="inlineStr">
        <is>
          <t>Sí</t>
        </is>
      </c>
      <c r="BT8" s="16" t="inlineStr">
        <is>
          <t>No</t>
        </is>
      </c>
      <c r="BU8" s="16" t="inlineStr">
        <is>
          <t>Siempre</t>
        </is>
      </c>
      <c r="BV8" s="16" t="inlineStr">
        <is>
          <t>No</t>
        </is>
      </c>
      <c r="BW8" s="16" t="inlineStr">
        <is>
          <t>No</t>
        </is>
      </c>
      <c r="BX8" s="16" t="inlineStr">
        <is>
          <t>Varón</t>
        </is>
      </c>
      <c r="BY8" s="16" t="n">
        <v>78.3</v>
      </c>
      <c r="BZ8" s="16" t="n">
        <v>1.77</v>
      </c>
      <c r="CA8" s="16" t="n">
        <v>25</v>
      </c>
      <c r="CB8" s="16" t="n">
        <v>88</v>
      </c>
      <c r="CC8" s="16" t="n">
        <v>134</v>
      </c>
      <c r="CD8" s="16" t="n">
        <v>85</v>
      </c>
      <c r="CE8" s="16" t="inlineStr">
        <is>
          <t>Sí</t>
        </is>
      </c>
      <c r="CF8" s="16" t="inlineStr">
        <is>
          <t>Sí</t>
        </is>
      </c>
      <c r="CG8" s="16" t="inlineStr">
        <is>
          <t>No</t>
        </is>
      </c>
      <c r="CH8" s="16" t="inlineStr">
        <is>
          <t>No</t>
        </is>
      </c>
      <c r="CI8" s="16" t="inlineStr">
        <is>
          <t>No</t>
        </is>
      </c>
      <c r="CJ8" s="16" t="inlineStr">
        <is>
          <t>No</t>
        </is>
      </c>
      <c r="CK8" s="16" t="inlineStr">
        <is>
          <t>Sí</t>
        </is>
      </c>
      <c r="CL8" s="16" t="inlineStr">
        <is>
          <t>No</t>
        </is>
      </c>
      <c r="CR8" s="16" t="inlineStr">
        <is>
          <t>Sí</t>
        </is>
      </c>
      <c r="CS8" s="16" t="n">
        <v>1</v>
      </c>
      <c r="CT8" s="16" t="inlineStr">
        <is>
          <t>Bajo</t>
        </is>
      </c>
      <c r="CU8" s="16" t="inlineStr">
        <is>
          <t>1 %</t>
        </is>
      </c>
      <c r="CV8" s="16" t="inlineStr">
        <is>
          <t>Sí</t>
        </is>
      </c>
      <c r="CW8" s="16" t="n">
        <v>7</v>
      </c>
      <c r="CX8" s="16" t="inlineStr">
        <is>
          <t>3</t>
        </is>
      </c>
      <c r="CY8" s="16" t="inlineStr">
        <is>
          <t>Bajo</t>
        </is>
      </c>
    </row>
    <row r="9">
      <c r="A9" s="16" t="inlineStr">
        <is>
          <t>demo-8</t>
        </is>
      </c>
      <c r="B9" s="16" t="inlineStr">
        <is>
          <t>C1-0008</t>
        </is>
      </c>
      <c r="C9" s="16" t="inlineStr">
        <is>
          <t>407-51-4500</t>
        </is>
      </c>
      <c r="D9" s="16" t="n">
        <v>407</v>
      </c>
      <c r="E9" s="16" t="n">
        <v>51</v>
      </c>
      <c r="F9" s="16" t="inlineStr">
        <is>
          <t>4500</t>
        </is>
      </c>
      <c r="G9" s="17" t="n">
        <v>46296</v>
      </c>
      <c r="H9" s="16" t="inlineStr">
        <is>
          <t>12:02</t>
        </is>
      </c>
      <c r="J9" s="16" t="inlineStr">
        <is>
          <t>C</t>
        </is>
      </c>
      <c r="K9" s="16" t="inlineStr">
        <is>
          <t>1</t>
        </is>
      </c>
      <c r="L9" s="16" t="inlineStr">
        <is>
          <t>Encuestador C</t>
        </is>
      </c>
      <c r="M9" s="16" t="inlineStr">
        <is>
          <t>Puesto 1</t>
        </is>
      </c>
      <c r="N9" s="16" t="inlineStr">
        <is>
          <t>Sí</t>
        </is>
      </c>
      <c r="O9" s="16" t="inlineStr">
        <is>
          <t>Sí</t>
        </is>
      </c>
      <c r="P9" s="16" t="n">
        <v>38</v>
      </c>
      <c r="Q9" s="16" t="inlineStr">
        <is>
          <t>Sí</t>
        </is>
      </c>
      <c r="R9" s="16" t="inlineStr">
        <is>
          <t>Sí</t>
        </is>
      </c>
      <c r="S9" s="16" t="inlineStr">
        <is>
          <t>Sí</t>
        </is>
      </c>
      <c r="T9" s="16" t="inlineStr">
        <is>
          <t>finalizado</t>
        </is>
      </c>
      <c r="U9" s="16" t="inlineStr">
        <is>
          <t>2026-10-v2</t>
        </is>
      </c>
      <c r="V9" s="16" t="inlineStr">
        <is>
          <t>2026-10-01T15:00:00.000Z</t>
        </is>
      </c>
      <c r="W9" s="16" t="inlineStr">
        <is>
          <t>Brasil</t>
        </is>
      </c>
      <c r="Y9" s="16" t="inlineStr">
        <is>
          <t>Secundaria completa</t>
        </is>
      </c>
      <c r="Z9" s="16" t="inlineStr">
        <is>
          <t>Sí</t>
        </is>
      </c>
      <c r="AA9" s="16" t="inlineStr">
        <is>
          <t>4</t>
        </is>
      </c>
      <c r="AB9" s="16" t="inlineStr">
        <is>
          <t>5</t>
        </is>
      </c>
      <c r="AC9" s="16" t="inlineStr">
        <is>
          <t>Inglés</t>
        </is>
      </c>
      <c r="AE9" s="16" t="inlineStr">
        <is>
          <t>Español</t>
        </is>
      </c>
      <c r="AG9" s="16" t="inlineStr">
        <is>
          <t>Argentina</t>
        </is>
      </c>
      <c r="AI9" s="16" t="inlineStr">
        <is>
          <t>Malo</t>
        </is>
      </c>
      <c r="AJ9" s="16" t="n">
        <v>13</v>
      </c>
      <c r="AK9" s="16" t="inlineStr">
        <is>
          <t>Viaje internacional</t>
        </is>
      </c>
      <c r="AL9" s="16" t="inlineStr">
        <is>
          <t>Quincenalmente</t>
        </is>
      </c>
      <c r="AN9" s="16" t="inlineStr">
        <is>
          <t>Diariamente</t>
        </is>
      </c>
      <c r="AP9" s="16" t="inlineStr">
        <is>
          <t>Otro</t>
        </is>
      </c>
      <c r="AR9" s="16" t="inlineStr">
        <is>
          <t>Disconforme</t>
        </is>
      </c>
      <c r="AS9" s="16" t="inlineStr">
        <is>
          <t>Sí</t>
        </is>
      </c>
      <c r="AT9" s="16" t="n">
        <v>3.9</v>
      </c>
      <c r="AU9" s="16" t="inlineStr">
        <is>
          <t>Sí</t>
        </is>
      </c>
      <c r="AV9" s="16" t="inlineStr">
        <is>
          <t>Paradores</t>
        </is>
      </c>
      <c r="AX9" s="16" t="n">
        <v>5.1</v>
      </c>
      <c r="AY9" s="16" t="inlineStr">
        <is>
          <t>Todos los días</t>
        </is>
      </c>
      <c r="AZ9" s="16" t="inlineStr">
        <is>
          <t>Jugos artificiales</t>
        </is>
      </c>
      <c r="BB9" s="16" t="inlineStr">
        <is>
          <t>A veces</t>
        </is>
      </c>
      <c r="BC9" s="16" t="inlineStr">
        <is>
          <t>Rara vez</t>
        </is>
      </c>
      <c r="BD9" s="16" t="inlineStr">
        <is>
          <t>No</t>
        </is>
      </c>
      <c r="BE9" s="16" t="inlineStr">
        <is>
          <t>Sí</t>
        </is>
      </c>
      <c r="BF9" s="16" t="inlineStr">
        <is>
          <t>Ninguna</t>
        </is>
      </c>
      <c r="BG9" s="16" t="inlineStr">
        <is>
          <t>Sistema privado</t>
        </is>
      </c>
      <c r="BH9" s="16" t="inlineStr">
        <is>
          <t>Nunca</t>
        </is>
      </c>
      <c r="BI9" s="16" t="inlineStr">
        <is>
          <t>Sistema privado</t>
        </is>
      </c>
      <c r="BJ9" s="16" t="inlineStr">
        <is>
          <t>No</t>
        </is>
      </c>
      <c r="BL9" s="16" t="inlineStr">
        <is>
          <t>Ninguno</t>
        </is>
      </c>
      <c r="BN9" s="16" t="inlineStr">
        <is>
          <t>No tengo diagnóstico de enfermedad</t>
        </is>
      </c>
      <c r="BP9" s="16" t="inlineStr">
        <is>
          <t>Una vez a la semana</t>
        </is>
      </c>
      <c r="BQ9" s="16" t="inlineStr">
        <is>
          <t>Café; Coca-Cola</t>
        </is>
      </c>
      <c r="BS9" s="16" t="inlineStr">
        <is>
          <t>Sí</t>
        </is>
      </c>
      <c r="BT9" s="16" t="inlineStr">
        <is>
          <t>Sí</t>
        </is>
      </c>
      <c r="BU9" s="16" t="inlineStr">
        <is>
          <t>Nunca</t>
        </is>
      </c>
      <c r="BV9" s="16" t="inlineStr">
        <is>
          <t>No</t>
        </is>
      </c>
      <c r="BW9" s="16" t="inlineStr">
        <is>
          <t>No</t>
        </is>
      </c>
      <c r="BX9" s="16" t="inlineStr">
        <is>
          <t>Varón</t>
        </is>
      </c>
      <c r="BY9" s="16" t="n">
        <v>76.40000000000001</v>
      </c>
      <c r="BZ9" s="16" t="n">
        <v>1.78</v>
      </c>
      <c r="CA9" s="16" t="n">
        <v>24.1</v>
      </c>
      <c r="CB9" s="16" t="n">
        <v>89</v>
      </c>
      <c r="CC9" s="16" t="n">
        <v>141</v>
      </c>
      <c r="CD9" s="16" t="n">
        <v>89</v>
      </c>
      <c r="CE9" s="16" t="inlineStr">
        <is>
          <t>Sí</t>
        </is>
      </c>
      <c r="CF9" s="16" t="inlineStr">
        <is>
          <t>No</t>
        </is>
      </c>
      <c r="CG9" s="16" t="inlineStr">
        <is>
          <t>No</t>
        </is>
      </c>
      <c r="CH9" s="16" t="inlineStr">
        <is>
          <t>No</t>
        </is>
      </c>
      <c r="CI9" s="16" t="inlineStr">
        <is>
          <t>No</t>
        </is>
      </c>
      <c r="CJ9" s="16" t="inlineStr">
        <is>
          <t>No</t>
        </is>
      </c>
      <c r="CK9" s="16" t="inlineStr">
        <is>
          <t>No</t>
        </is>
      </c>
      <c r="CL9" s="16" t="inlineStr">
        <is>
          <t>Sí</t>
        </is>
      </c>
      <c r="CM9" s="16" t="inlineStr">
        <is>
          <t>07:47</t>
        </is>
      </c>
      <c r="CN9" s="16" t="inlineStr">
        <is>
          <t>Mate</t>
        </is>
      </c>
      <c r="CO9" s="16" t="inlineStr">
        <is>
          <t>11:30</t>
        </is>
      </c>
      <c r="CP9" s="16" t="n">
        <v>180</v>
      </c>
      <c r="CQ9" s="16" t="n">
        <v>223</v>
      </c>
      <c r="CR9" s="16" t="inlineStr">
        <is>
          <t>Sí</t>
        </is>
      </c>
      <c r="CS9" s="16" t="n">
        <v>3</v>
      </c>
      <c r="CT9" s="16" t="inlineStr">
        <is>
          <t>Bajo</t>
        </is>
      </c>
      <c r="CU9" s="16" t="inlineStr">
        <is>
          <t>1 %</t>
        </is>
      </c>
      <c r="CV9" s="16" t="inlineStr">
        <is>
          <t>Sí</t>
        </is>
      </c>
      <c r="CW9" s="16" t="n">
        <v>7</v>
      </c>
      <c r="CX9" s="16" t="inlineStr">
        <is>
          <t>3</t>
        </is>
      </c>
      <c r="CY9" s="16" t="inlineStr">
        <is>
          <t>Bajo</t>
        </is>
      </c>
    </row>
    <row r="10">
      <c r="A10" s="16" t="inlineStr">
        <is>
          <t>demo-9</t>
        </is>
      </c>
      <c r="B10" s="16" t="inlineStr">
        <is>
          <t>A1-0009</t>
        </is>
      </c>
      <c r="C10" s="16" t="inlineStr">
        <is>
          <t>009-43-4630</t>
        </is>
      </c>
      <c r="D10" s="16" t="n">
        <v>9</v>
      </c>
      <c r="E10" s="16" t="n">
        <v>43</v>
      </c>
      <c r="F10" s="16" t="inlineStr">
        <is>
          <t>4630</t>
        </is>
      </c>
      <c r="G10" s="17" t="n">
        <v>46295</v>
      </c>
      <c r="H10" s="16" t="inlineStr">
        <is>
          <t>13:05</t>
        </is>
      </c>
      <c r="J10" s="16" t="inlineStr">
        <is>
          <t>A</t>
        </is>
      </c>
      <c r="K10" s="16" t="inlineStr">
        <is>
          <t>1</t>
        </is>
      </c>
      <c r="L10" s="16" t="inlineStr">
        <is>
          <t>Encuestador A</t>
        </is>
      </c>
      <c r="M10" s="16" t="inlineStr">
        <is>
          <t>Puesto 2</t>
        </is>
      </c>
      <c r="N10" s="16" t="inlineStr">
        <is>
          <t>Sí</t>
        </is>
      </c>
      <c r="O10" s="16" t="inlineStr">
        <is>
          <t>Sí</t>
        </is>
      </c>
      <c r="P10" s="16" t="n">
        <v>39</v>
      </c>
      <c r="Q10" s="16" t="inlineStr">
        <is>
          <t>Sí</t>
        </is>
      </c>
      <c r="R10" s="16" t="inlineStr">
        <is>
          <t>Sí</t>
        </is>
      </c>
      <c r="S10" s="16" t="inlineStr">
        <is>
          <t>No</t>
        </is>
      </c>
      <c r="T10" s="16" t="inlineStr">
        <is>
          <t>finalizado</t>
        </is>
      </c>
      <c r="U10" s="16" t="inlineStr">
        <is>
          <t>2026-10-v2</t>
        </is>
      </c>
      <c r="V10" s="16" t="inlineStr">
        <is>
          <t>2026-09-30T15:00:00.000Z</t>
        </is>
      </c>
      <c r="W10" s="16" t="inlineStr">
        <is>
          <t>Argentina</t>
        </is>
      </c>
      <c r="Y10" s="16" t="inlineStr">
        <is>
          <t>Universitario completo</t>
        </is>
      </c>
      <c r="Z10" s="16" t="inlineStr">
        <is>
          <t>Sí</t>
        </is>
      </c>
      <c r="AA10" s="16" t="inlineStr">
        <is>
          <t>2</t>
        </is>
      </c>
      <c r="AB10" s="16" t="inlineStr">
        <is>
          <t>2</t>
        </is>
      </c>
      <c r="AC10" s="16" t="inlineStr">
        <is>
          <t>Español</t>
        </is>
      </c>
      <c r="AE10" s="16" t="inlineStr">
        <is>
          <t>Español</t>
        </is>
      </c>
      <c r="AG10" s="16" t="inlineStr">
        <is>
          <t>Argentina</t>
        </is>
      </c>
      <c r="AI10" s="16" t="inlineStr">
        <is>
          <t>Regular</t>
        </is>
      </c>
      <c r="AJ10" s="16" t="n">
        <v>1</v>
      </c>
      <c r="AK10" s="16" t="inlineStr">
        <is>
          <t>Viaje internacional</t>
        </is>
      </c>
      <c r="AL10" s="16" t="inlineStr">
        <is>
          <t>Una vez a la semana</t>
        </is>
      </c>
      <c r="AN10" s="16" t="inlineStr">
        <is>
          <t>Una vez a la semana</t>
        </is>
      </c>
      <c r="AP10" s="16" t="inlineStr">
        <is>
          <t>Dueño del camión</t>
        </is>
      </c>
      <c r="AR10" s="16" t="inlineStr">
        <is>
          <t>Disconforme</t>
        </is>
      </c>
      <c r="AS10" s="16" t="inlineStr">
        <is>
          <t>Sí</t>
        </is>
      </c>
      <c r="AT10" s="16" t="n">
        <v>2.1</v>
      </c>
      <c r="AU10" s="16" t="inlineStr">
        <is>
          <t>Sí</t>
        </is>
      </c>
      <c r="AV10" s="16" t="inlineStr">
        <is>
          <t>Paradores</t>
        </is>
      </c>
      <c r="AX10" s="16" t="n">
        <v>6.7</v>
      </c>
      <c r="AY10" s="16" t="inlineStr">
        <is>
          <t>Varias veces por semana</t>
        </is>
      </c>
      <c r="AZ10" s="16" t="inlineStr">
        <is>
          <t>Agua; Mate</t>
        </is>
      </c>
      <c r="BB10" s="16" t="inlineStr">
        <is>
          <t>A veces</t>
        </is>
      </c>
      <c r="BC10" s="16" t="inlineStr">
        <is>
          <t>No</t>
        </is>
      </c>
      <c r="BD10" s="16" t="inlineStr">
        <is>
          <t>No</t>
        </is>
      </c>
      <c r="BE10" s="16" t="inlineStr">
        <is>
          <t>No</t>
        </is>
      </c>
      <c r="BF10" s="16" t="inlineStr">
        <is>
          <t>Obra social</t>
        </is>
      </c>
      <c r="BG10" s="16" t="inlineStr">
        <is>
          <t>Sistema público</t>
        </is>
      </c>
      <c r="BH10" s="16" t="inlineStr">
        <is>
          <t>Solo cuando me siento mal</t>
        </is>
      </c>
      <c r="BI10" s="16" t="inlineStr">
        <is>
          <t>Sistema público</t>
        </is>
      </c>
      <c r="BJ10" s="16" t="inlineStr">
        <is>
          <t>Sí</t>
        </is>
      </c>
      <c r="BK10" s="16" t="inlineStr">
        <is>
          <t>Lumbar</t>
        </is>
      </c>
      <c r="BL10" s="16" t="inlineStr">
        <is>
          <t>Medicamentos</t>
        </is>
      </c>
      <c r="BM10" s="16" t="inlineStr">
        <is>
          <t>Ibuprofeno</t>
        </is>
      </c>
      <c r="BN10" s="16" t="inlineStr">
        <is>
          <t>No tengo diagnóstico de enfermedad</t>
        </is>
      </c>
      <c r="BP10" s="16" t="inlineStr">
        <is>
          <t>Una vez a la semana</t>
        </is>
      </c>
      <c r="BQ10" s="16" t="inlineStr">
        <is>
          <t>Café</t>
        </is>
      </c>
      <c r="BS10" s="16" t="inlineStr">
        <is>
          <t>Sí</t>
        </is>
      </c>
      <c r="BT10" s="16" t="inlineStr">
        <is>
          <t>Sí</t>
        </is>
      </c>
      <c r="BU10" s="16" t="inlineStr">
        <is>
          <t>Nunca</t>
        </is>
      </c>
      <c r="BV10" s="16" t="inlineStr">
        <is>
          <t>Sí</t>
        </is>
      </c>
      <c r="BW10" s="16" t="inlineStr">
        <is>
          <t>No</t>
        </is>
      </c>
      <c r="BX10" s="16" t="inlineStr">
        <is>
          <t>Varón</t>
        </is>
      </c>
      <c r="BY10" s="16" t="n">
        <v>98.09999999999999</v>
      </c>
      <c r="BZ10" s="16" t="n">
        <v>1.83</v>
      </c>
      <c r="CA10" s="16" t="n">
        <v>29.3</v>
      </c>
      <c r="CB10" s="16" t="n">
        <v>115</v>
      </c>
      <c r="CC10" s="16" t="n">
        <v>123</v>
      </c>
      <c r="CD10" s="16" t="n">
        <v>78</v>
      </c>
      <c r="CE10" s="16" t="inlineStr">
        <is>
          <t>No</t>
        </is>
      </c>
      <c r="CF10" s="16" t="inlineStr">
        <is>
          <t>Sí</t>
        </is>
      </c>
      <c r="CG10" s="16" t="inlineStr">
        <is>
          <t>No</t>
        </is>
      </c>
      <c r="CH10" s="16" t="inlineStr">
        <is>
          <t>No</t>
        </is>
      </c>
      <c r="CI10" s="16" t="inlineStr">
        <is>
          <t>Sí</t>
        </is>
      </c>
      <c r="CJ10" s="16" t="inlineStr">
        <is>
          <t>No</t>
        </is>
      </c>
      <c r="CK10" s="16" t="inlineStr">
        <is>
          <t>Sí</t>
        </is>
      </c>
      <c r="CL10" s="16" t="inlineStr">
        <is>
          <t>No</t>
        </is>
      </c>
      <c r="CR10" s="16" t="inlineStr">
        <is>
          <t>Sí</t>
        </is>
      </c>
      <c r="CS10" s="16" t="n">
        <v>12</v>
      </c>
      <c r="CT10" s="16" t="inlineStr">
        <is>
          <t>Moderado</t>
        </is>
      </c>
      <c r="CU10" s="16" t="inlineStr">
        <is>
          <t>17 %</t>
        </is>
      </c>
      <c r="CV10" s="16" t="inlineStr">
        <is>
          <t>Sí</t>
        </is>
      </c>
      <c r="CW10" s="16" t="n">
        <v>6</v>
      </c>
      <c r="CX10" s="16" t="inlineStr">
        <is>
          <t>2</t>
        </is>
      </c>
      <c r="CY10" s="16" t="inlineStr">
        <is>
          <t>Bajo</t>
        </is>
      </c>
    </row>
    <row r="11">
      <c r="A11" s="16" t="inlineStr">
        <is>
          <t>demo-10</t>
        </is>
      </c>
      <c r="B11" s="16" t="inlineStr">
        <is>
          <t>C1-0010</t>
        </is>
      </c>
      <c r="C11" s="16" t="inlineStr">
        <is>
          <t>409-44-4600</t>
        </is>
      </c>
      <c r="D11" s="16" t="n">
        <v>409</v>
      </c>
      <c r="E11" s="16" t="n">
        <v>44</v>
      </c>
      <c r="F11" s="16" t="inlineStr">
        <is>
          <t>4600</t>
        </is>
      </c>
      <c r="G11" s="17" t="n">
        <v>46296</v>
      </c>
      <c r="H11" s="16" t="inlineStr">
        <is>
          <t>16:08</t>
        </is>
      </c>
      <c r="J11" s="16" t="inlineStr">
        <is>
          <t>C</t>
        </is>
      </c>
      <c r="K11" s="16" t="inlineStr">
        <is>
          <t>1</t>
        </is>
      </c>
      <c r="L11" s="16" t="inlineStr">
        <is>
          <t>Encuestador C</t>
        </is>
      </c>
      <c r="M11" s="16" t="inlineStr">
        <is>
          <t>Puesto 2</t>
        </is>
      </c>
      <c r="N11" s="16" t="inlineStr">
        <is>
          <t>Sí</t>
        </is>
      </c>
      <c r="O11" s="16" t="inlineStr">
        <is>
          <t>Sí</t>
        </is>
      </c>
      <c r="P11" s="16" t="n">
        <v>39</v>
      </c>
      <c r="Q11" s="16" t="inlineStr">
        <is>
          <t>Sí</t>
        </is>
      </c>
      <c r="R11" s="16" t="inlineStr">
        <is>
          <t>Sí</t>
        </is>
      </c>
      <c r="S11" s="16" t="inlineStr">
        <is>
          <t>Sí</t>
        </is>
      </c>
      <c r="T11" s="16" t="inlineStr">
        <is>
          <t>finalizado</t>
        </is>
      </c>
      <c r="U11" s="16" t="inlineStr">
        <is>
          <t>2026-10-v2</t>
        </is>
      </c>
      <c r="V11" s="16" t="inlineStr">
        <is>
          <t>2026-10-01T15:00:00.000Z</t>
        </is>
      </c>
      <c r="W11" s="16" t="inlineStr">
        <is>
          <t>Argentina</t>
        </is>
      </c>
      <c r="Y11" s="16" t="inlineStr">
        <is>
          <t>Terciario incompleto</t>
        </is>
      </c>
      <c r="Z11" s="16" t="inlineStr">
        <is>
          <t>Sí</t>
        </is>
      </c>
      <c r="AA11" s="16" t="inlineStr">
        <is>
          <t>Más de 5</t>
        </is>
      </c>
      <c r="AB11" s="16" t="inlineStr">
        <is>
          <t>5</t>
        </is>
      </c>
      <c r="AC11" s="16" t="inlineStr">
        <is>
          <t>Guaraní</t>
        </is>
      </c>
      <c r="AE11" s="16" t="inlineStr">
        <is>
          <t>Español</t>
        </is>
      </c>
      <c r="AG11" s="16" t="inlineStr">
        <is>
          <t>Argentina</t>
        </is>
      </c>
      <c r="AI11" s="16" t="inlineStr">
        <is>
          <t>Bueno</t>
        </is>
      </c>
      <c r="AJ11" s="16" t="n">
        <v>4</v>
      </c>
      <c r="AK11" s="16" t="inlineStr">
        <is>
          <t>Viaje provincial (Jujuy)</t>
        </is>
      </c>
      <c r="AL11" s="16" t="inlineStr">
        <is>
          <t>Una vez a la semana</t>
        </is>
      </c>
      <c r="AN11" s="16" t="inlineStr">
        <is>
          <t>Una vez a la semana</t>
        </is>
      </c>
      <c r="AP11" s="16" t="inlineStr">
        <is>
          <t>Dueño del camión</t>
        </is>
      </c>
      <c r="AR11" s="16" t="inlineStr">
        <is>
          <t>Parcialmente conforme</t>
        </is>
      </c>
      <c r="AS11" s="16" t="inlineStr">
        <is>
          <t>Sí</t>
        </is>
      </c>
      <c r="AT11" s="16" t="n">
        <v>3.6</v>
      </c>
      <c r="AU11" s="16" t="inlineStr">
        <is>
          <t>Sí</t>
        </is>
      </c>
      <c r="AV11" s="16" t="inlineStr">
        <is>
          <t>Paradores; En el camión al costado de la ruta</t>
        </is>
      </c>
      <c r="AX11" s="16" t="n">
        <v>6.2</v>
      </c>
      <c r="AY11" s="16" t="inlineStr">
        <is>
          <t>Nunca</t>
        </is>
      </c>
      <c r="AZ11" s="16" t="inlineStr">
        <is>
          <t>Mate; Gaseosas</t>
        </is>
      </c>
      <c r="BB11" s="16" t="inlineStr">
        <is>
          <t>Nunca</t>
        </is>
      </c>
      <c r="BC11" s="16" t="inlineStr">
        <is>
          <t>No</t>
        </is>
      </c>
      <c r="BD11" s="16" t="inlineStr">
        <is>
          <t>Sí</t>
        </is>
      </c>
      <c r="BE11" s="16" t="inlineStr">
        <is>
          <t>No</t>
        </is>
      </c>
      <c r="BF11" s="16" t="inlineStr">
        <is>
          <t>Seguro de salud</t>
        </is>
      </c>
      <c r="BG11" s="16" t="inlineStr">
        <is>
          <t>Ninguno</t>
        </is>
      </c>
      <c r="BH11" s="16" t="inlineStr">
        <is>
          <t>Solo cuando me siento mal</t>
        </is>
      </c>
      <c r="BI11" s="16" t="inlineStr">
        <is>
          <t>Sistema privado</t>
        </is>
      </c>
      <c r="BJ11" s="16" t="inlineStr">
        <is>
          <t>Sí</t>
        </is>
      </c>
      <c r="BK11" s="16" t="inlineStr">
        <is>
          <t>Cervical</t>
        </is>
      </c>
      <c r="BL11" s="16" t="inlineStr">
        <is>
          <t>Medicamentos</t>
        </is>
      </c>
      <c r="BM11" s="16" t="inlineStr">
        <is>
          <t>Ibuprofeno</t>
        </is>
      </c>
      <c r="BN11" s="16" t="inlineStr">
        <is>
          <t>Musculoesqueléticos</t>
        </is>
      </c>
      <c r="BP11" s="16" t="inlineStr">
        <is>
          <t>Nunca</t>
        </is>
      </c>
      <c r="BQ11" s="16" t="inlineStr">
        <is>
          <t>Yerba mate</t>
        </is>
      </c>
      <c r="BS11" s="16" t="inlineStr">
        <is>
          <t>Sí</t>
        </is>
      </c>
      <c r="BT11" s="16" t="inlineStr">
        <is>
          <t>Sí</t>
        </is>
      </c>
      <c r="BU11" s="16" t="inlineStr">
        <is>
          <t>Siempre</t>
        </is>
      </c>
      <c r="BV11" s="16" t="inlineStr">
        <is>
          <t>No</t>
        </is>
      </c>
      <c r="BW11" s="16" t="inlineStr">
        <is>
          <t>No</t>
        </is>
      </c>
      <c r="BX11" s="16" t="inlineStr">
        <is>
          <t>Varón</t>
        </is>
      </c>
      <c r="BY11" s="16" t="n">
        <v>88</v>
      </c>
      <c r="BZ11" s="16" t="n">
        <v>1.88</v>
      </c>
      <c r="CA11" s="16" t="n">
        <v>24.9</v>
      </c>
      <c r="CB11" s="16" t="n">
        <v>106</v>
      </c>
      <c r="CC11" s="16" t="n">
        <v>142</v>
      </c>
      <c r="CD11" s="16" t="n">
        <v>90</v>
      </c>
      <c r="CE11" s="16" t="inlineStr">
        <is>
          <t>No</t>
        </is>
      </c>
      <c r="CF11" s="16" t="inlineStr">
        <is>
          <t>No</t>
        </is>
      </c>
      <c r="CG11" s="16" t="inlineStr">
        <is>
          <t>No</t>
        </is>
      </c>
      <c r="CH11" s="16" t="inlineStr">
        <is>
          <t>No</t>
        </is>
      </c>
      <c r="CI11" s="16" t="inlineStr">
        <is>
          <t>Sí</t>
        </is>
      </c>
      <c r="CJ11" s="16" t="inlineStr">
        <is>
          <t>Sí, parientes lejanos</t>
        </is>
      </c>
      <c r="CK11" s="16" t="inlineStr">
        <is>
          <t>Sí</t>
        </is>
      </c>
      <c r="CL11" s="16" t="inlineStr">
        <is>
          <t>Sí</t>
        </is>
      </c>
      <c r="CM11" s="16" t="inlineStr">
        <is>
          <t>07:36</t>
        </is>
      </c>
      <c r="CN11" s="16" t="inlineStr">
        <is>
          <t>Mate</t>
        </is>
      </c>
      <c r="CO11" s="16" t="inlineStr">
        <is>
          <t>12:30</t>
        </is>
      </c>
      <c r="CP11" s="16" t="n">
        <v>107</v>
      </c>
      <c r="CQ11" s="16" t="n">
        <v>294</v>
      </c>
      <c r="CR11" s="16" t="inlineStr">
        <is>
          <t>Sí</t>
        </is>
      </c>
      <c r="CS11" s="16" t="n">
        <v>15</v>
      </c>
      <c r="CT11" s="16" t="inlineStr">
        <is>
          <t>Alto</t>
        </is>
      </c>
      <c r="CU11" s="16" t="inlineStr">
        <is>
          <t>33 %</t>
        </is>
      </c>
      <c r="CV11" s="16" t="inlineStr">
        <is>
          <t>Sí</t>
        </is>
      </c>
      <c r="CW11" s="16" t="n">
        <v>6</v>
      </c>
      <c r="CX11" s="16" t="inlineStr">
        <is>
          <t>2</t>
        </is>
      </c>
      <c r="CY11" s="16" t="inlineStr">
        <is>
          <t>Bajo</t>
        </is>
      </c>
    </row>
    <row r="12">
      <c r="A12" s="16" t="inlineStr">
        <is>
          <t>demo-11</t>
        </is>
      </c>
      <c r="B12" s="16" t="inlineStr">
        <is>
          <t>A1-0011</t>
        </is>
      </c>
      <c r="C12" s="16" t="inlineStr">
        <is>
          <t>011-68-4612</t>
        </is>
      </c>
      <c r="D12" s="16" t="n">
        <v>11</v>
      </c>
      <c r="E12" s="16" t="n">
        <v>68</v>
      </c>
      <c r="F12" s="16" t="inlineStr">
        <is>
          <t>4612</t>
        </is>
      </c>
      <c r="G12" s="17" t="n">
        <v>46301</v>
      </c>
      <c r="H12" s="16" t="inlineStr">
        <is>
          <t>12:02</t>
        </is>
      </c>
      <c r="J12" s="16" t="inlineStr">
        <is>
          <t>A</t>
        </is>
      </c>
      <c r="K12" s="16" t="inlineStr">
        <is>
          <t>1</t>
        </is>
      </c>
      <c r="L12" s="16" t="inlineStr">
        <is>
          <t>Encuestador A</t>
        </is>
      </c>
      <c r="M12" s="16" t="inlineStr">
        <is>
          <t>Puesto 1</t>
        </is>
      </c>
      <c r="N12" s="16" t="inlineStr">
        <is>
          <t>Sí</t>
        </is>
      </c>
      <c r="O12" s="16" t="inlineStr">
        <is>
          <t>Sí</t>
        </is>
      </c>
      <c r="P12" s="16" t="n">
        <v>38</v>
      </c>
      <c r="Q12" s="16" t="inlineStr">
        <is>
          <t>Sí</t>
        </is>
      </c>
      <c r="R12" s="16" t="inlineStr">
        <is>
          <t>Sí</t>
        </is>
      </c>
      <c r="S12" s="16" t="inlineStr">
        <is>
          <t>Sí</t>
        </is>
      </c>
      <c r="T12" s="16" t="inlineStr">
        <is>
          <t>finalizado</t>
        </is>
      </c>
      <c r="U12" s="16" t="inlineStr">
        <is>
          <t>2026-10-v2</t>
        </is>
      </c>
      <c r="V12" s="16" t="inlineStr">
        <is>
          <t>2026-10-06T15:00:00.000Z</t>
        </is>
      </c>
      <c r="W12" s="16" t="inlineStr">
        <is>
          <t>Argentina</t>
        </is>
      </c>
      <c r="Y12" s="16" t="inlineStr">
        <is>
          <t>Secundaria incompleta</t>
        </is>
      </c>
      <c r="Z12" s="16" t="inlineStr">
        <is>
          <t>No</t>
        </is>
      </c>
      <c r="AA12" s="16" t="inlineStr">
        <is>
          <t>1</t>
        </is>
      </c>
      <c r="AB12" s="16" t="inlineStr">
        <is>
          <t>4</t>
        </is>
      </c>
      <c r="AC12" s="16" t="inlineStr">
        <is>
          <t>Español</t>
        </is>
      </c>
      <c r="AE12" s="16" t="inlineStr">
        <is>
          <t>Español</t>
        </is>
      </c>
      <c r="AG12" s="16" t="inlineStr">
        <is>
          <t>Argentina</t>
        </is>
      </c>
      <c r="AI12" s="16" t="inlineStr">
        <is>
          <t>Muy malo</t>
        </is>
      </c>
      <c r="AJ12" s="16" t="n">
        <v>3</v>
      </c>
      <c r="AK12" s="16" t="inlineStr">
        <is>
          <t>Viaje interprovincial</t>
        </is>
      </c>
      <c r="AL12" s="16" t="inlineStr">
        <is>
          <t>Una vez al mes</t>
        </is>
      </c>
      <c r="AN12" s="16" t="inlineStr">
        <is>
          <t>3 veces por semana</t>
        </is>
      </c>
      <c r="AP12" s="16" t="inlineStr">
        <is>
          <t>Empleado</t>
        </is>
      </c>
      <c r="AR12" s="16" t="inlineStr">
        <is>
          <t>Parcialmente conforme</t>
        </is>
      </c>
      <c r="AS12" s="16" t="inlineStr">
        <is>
          <t>Duda</t>
        </is>
      </c>
      <c r="AT12" s="16" t="n">
        <v>2.4</v>
      </c>
      <c r="AU12" s="16" t="inlineStr">
        <is>
          <t>Sí</t>
        </is>
      </c>
      <c r="AV12" s="16" t="inlineStr">
        <is>
          <t>En el camión al costado de la ruta</t>
        </is>
      </c>
      <c r="AX12" s="16" t="n">
        <v>8</v>
      </c>
      <c r="AY12" s="16" t="inlineStr">
        <is>
          <t>Nunca</t>
        </is>
      </c>
      <c r="AZ12" s="16" t="inlineStr">
        <is>
          <t>Gaseosas; Agua; Café</t>
        </is>
      </c>
      <c r="BB12" s="16" t="inlineStr">
        <is>
          <t>Nunca</t>
        </is>
      </c>
      <c r="BC12" s="16" t="inlineStr">
        <is>
          <t>No</t>
        </is>
      </c>
      <c r="BD12" s="16" t="inlineStr">
        <is>
          <t>No</t>
        </is>
      </c>
      <c r="BE12" s="16" t="inlineStr">
        <is>
          <t>No</t>
        </is>
      </c>
      <c r="BF12" s="16" t="inlineStr">
        <is>
          <t>Ninguna</t>
        </is>
      </c>
      <c r="BG12" s="16" t="inlineStr">
        <is>
          <t>Sistema privado</t>
        </is>
      </c>
      <c r="BH12" s="16" t="inlineStr">
        <is>
          <t>Una vez al año</t>
        </is>
      </c>
      <c r="BI12" s="16" t="inlineStr">
        <is>
          <t>Sistema público; Otros (medicina tradicional, alternativa, etc.)</t>
        </is>
      </c>
      <c r="BJ12" s="16" t="inlineStr">
        <is>
          <t>Sí</t>
        </is>
      </c>
      <c r="BK12" s="16" t="inlineStr">
        <is>
          <t>Rodillas</t>
        </is>
      </c>
      <c r="BL12" s="16" t="inlineStr">
        <is>
          <t>Ninguno</t>
        </is>
      </c>
      <c r="BN12" s="16" t="inlineStr">
        <is>
          <t>Obesidad</t>
        </is>
      </c>
      <c r="BP12" s="16" t="inlineStr">
        <is>
          <t>Una vez a la semana</t>
        </is>
      </c>
      <c r="BQ12" s="16" t="inlineStr">
        <is>
          <t>Yerba mate</t>
        </is>
      </c>
      <c r="BS12" s="16" t="inlineStr">
        <is>
          <t>Sí</t>
        </is>
      </c>
      <c r="BT12" s="16" t="inlineStr">
        <is>
          <t>No</t>
        </is>
      </c>
      <c r="BU12" s="16" t="inlineStr">
        <is>
          <t>Siempre</t>
        </is>
      </c>
      <c r="BV12" s="16" t="inlineStr">
        <is>
          <t>Sí</t>
        </is>
      </c>
      <c r="BW12" s="16" t="inlineStr">
        <is>
          <t>No</t>
        </is>
      </c>
      <c r="BX12" s="16" t="inlineStr">
        <is>
          <t>Varón</t>
        </is>
      </c>
      <c r="BY12" s="16" t="n">
        <v>94.90000000000001</v>
      </c>
      <c r="BZ12" s="16" t="n">
        <v>1.75</v>
      </c>
      <c r="CA12" s="16" t="n">
        <v>31</v>
      </c>
      <c r="CB12" s="16" t="n">
        <v>111</v>
      </c>
      <c r="CC12" s="16" t="n">
        <v>117</v>
      </c>
      <c r="CD12" s="16" t="n">
        <v>75</v>
      </c>
      <c r="CE12" s="16" t="inlineStr">
        <is>
          <t>No</t>
        </is>
      </c>
      <c r="CF12" s="16" t="inlineStr">
        <is>
          <t>Sí</t>
        </is>
      </c>
      <c r="CG12" s="16" t="inlineStr">
        <is>
          <t>Sí</t>
        </is>
      </c>
      <c r="CH12" s="16" t="inlineStr">
        <is>
          <t>No</t>
        </is>
      </c>
      <c r="CI12" s="16" t="inlineStr">
        <is>
          <t>No</t>
        </is>
      </c>
      <c r="CJ12" s="16" t="inlineStr">
        <is>
          <t>No</t>
        </is>
      </c>
      <c r="CK12" s="16" t="inlineStr">
        <is>
          <t>Sí</t>
        </is>
      </c>
      <c r="CL12" s="16" t="inlineStr">
        <is>
          <t>Sí</t>
        </is>
      </c>
      <c r="CM12" s="16" t="inlineStr">
        <is>
          <t>07:17</t>
        </is>
      </c>
      <c r="CN12" s="16" t="inlineStr">
        <is>
          <t>Mate</t>
        </is>
      </c>
      <c r="CO12" s="16" t="inlineStr">
        <is>
          <t>13:30</t>
        </is>
      </c>
      <c r="CP12" s="16" t="n">
        <v>113</v>
      </c>
      <c r="CQ12" s="16" t="n">
        <v>373</v>
      </c>
      <c r="CR12" s="16" t="inlineStr">
        <is>
          <t>Sí</t>
        </is>
      </c>
      <c r="CS12" s="16" t="n">
        <v>13</v>
      </c>
      <c r="CT12" s="16" t="inlineStr">
        <is>
          <t>Moderado</t>
        </is>
      </c>
      <c r="CU12" s="16" t="inlineStr">
        <is>
          <t>17 %</t>
        </is>
      </c>
      <c r="CV12" s="16" t="inlineStr">
        <is>
          <t>Sí</t>
        </is>
      </c>
      <c r="CW12" s="16" t="n">
        <v>14</v>
      </c>
      <c r="CX12" s="16" t="inlineStr">
        <is>
          <t>16</t>
        </is>
      </c>
      <c r="CY12" s="16" t="inlineStr">
        <is>
          <t>Moderado</t>
        </is>
      </c>
    </row>
    <row r="13">
      <c r="A13" s="16" t="inlineStr">
        <is>
          <t>demo-12</t>
        </is>
      </c>
      <c r="B13" s="16" t="inlineStr">
        <is>
          <t>B1-0012</t>
        </is>
      </c>
      <c r="C13" s="16" t="inlineStr">
        <is>
          <t>211-26-4630</t>
        </is>
      </c>
      <c r="D13" s="16" t="n">
        <v>211</v>
      </c>
      <c r="E13" s="16" t="n">
        <v>26</v>
      </c>
      <c r="F13" s="16" t="inlineStr">
        <is>
          <t>4630</t>
        </is>
      </c>
      <c r="G13" s="17" t="n">
        <v>46294</v>
      </c>
      <c r="H13" s="16" t="inlineStr">
        <is>
          <t>12:05</t>
        </is>
      </c>
      <c r="J13" s="16" t="inlineStr">
        <is>
          <t>B</t>
        </is>
      </c>
      <c r="K13" s="16" t="inlineStr">
        <is>
          <t>1</t>
        </is>
      </c>
      <c r="L13" s="16" t="inlineStr">
        <is>
          <t>Encuestador B</t>
        </is>
      </c>
      <c r="M13" s="16" t="inlineStr">
        <is>
          <t>Puesto 2</t>
        </is>
      </c>
      <c r="N13" s="16" t="inlineStr">
        <is>
          <t>Sí</t>
        </is>
      </c>
      <c r="O13" s="16" t="inlineStr">
        <is>
          <t>Sí</t>
        </is>
      </c>
      <c r="P13" s="16" t="n">
        <v>38</v>
      </c>
      <c r="Q13" s="16" t="inlineStr">
        <is>
          <t>Sí</t>
        </is>
      </c>
      <c r="R13" s="16" t="inlineStr">
        <is>
          <t>Sí</t>
        </is>
      </c>
      <c r="S13" s="16" t="inlineStr">
        <is>
          <t>Sí</t>
        </is>
      </c>
      <c r="T13" s="16" t="inlineStr">
        <is>
          <t>finalizado</t>
        </is>
      </c>
      <c r="U13" s="16" t="inlineStr">
        <is>
          <t>2026-10-v2</t>
        </is>
      </c>
      <c r="V13" s="16" t="inlineStr">
        <is>
          <t>2026-09-29T15:00:00.000Z</t>
        </is>
      </c>
      <c r="W13" s="16" t="inlineStr">
        <is>
          <t>Brasil</t>
        </is>
      </c>
      <c r="Y13" s="16" t="inlineStr">
        <is>
          <t>Terciario completo</t>
        </is>
      </c>
      <c r="Z13" s="16" t="inlineStr">
        <is>
          <t>No</t>
        </is>
      </c>
      <c r="AA13" s="16" t="inlineStr">
        <is>
          <t>3</t>
        </is>
      </c>
      <c r="AB13" s="16" t="inlineStr">
        <is>
          <t>Más de 5</t>
        </is>
      </c>
      <c r="AC13" s="16" t="inlineStr">
        <is>
          <t>Guaraní</t>
        </is>
      </c>
      <c r="AE13" s="16" t="inlineStr">
        <is>
          <t>Español</t>
        </is>
      </c>
      <c r="AG13" s="16" t="inlineStr">
        <is>
          <t>Argentina</t>
        </is>
      </c>
      <c r="AI13" s="16" t="inlineStr">
        <is>
          <t>Regular</t>
        </is>
      </c>
      <c r="AJ13" s="16" t="n">
        <v>6</v>
      </c>
      <c r="AK13" s="16" t="inlineStr">
        <is>
          <t>Viaje internacional</t>
        </is>
      </c>
      <c r="AL13" s="16" t="inlineStr">
        <is>
          <t>Una vez a la semana</t>
        </is>
      </c>
      <c r="AN13" s="16" t="inlineStr">
        <is>
          <t>3 veces por semana</t>
        </is>
      </c>
      <c r="AP13" s="16" t="inlineStr">
        <is>
          <t>Empleado</t>
        </is>
      </c>
      <c r="AR13" s="16" t="inlineStr">
        <is>
          <t>Parcialmente conforme</t>
        </is>
      </c>
      <c r="AS13" s="16" t="inlineStr">
        <is>
          <t>No</t>
        </is>
      </c>
      <c r="AT13" s="16" t="n">
        <v>8.300000000000001</v>
      </c>
      <c r="AU13" s="16" t="inlineStr">
        <is>
          <t>No</t>
        </is>
      </c>
      <c r="AV13" s="16" t="inlineStr">
        <is>
          <t>Estaciones de servicio</t>
        </is>
      </c>
      <c r="AX13" s="16" t="n">
        <v>7.9</v>
      </c>
      <c r="AY13" s="16" t="inlineStr">
        <is>
          <t>Todos los días</t>
        </is>
      </c>
      <c r="AZ13" s="16" t="inlineStr">
        <is>
          <t>Mate; Jugos artificiales; Gaseosas</t>
        </is>
      </c>
      <c r="BB13" s="16" t="inlineStr">
        <is>
          <t>A veces</t>
        </is>
      </c>
      <c r="BC13" s="16" t="inlineStr">
        <is>
          <t>Rara vez</t>
        </is>
      </c>
      <c r="BD13" s="16" t="inlineStr">
        <is>
          <t>Sí</t>
        </is>
      </c>
      <c r="BE13" s="16" t="inlineStr">
        <is>
          <t>Parcialmente</t>
        </is>
      </c>
      <c r="BF13" s="16" t="inlineStr">
        <is>
          <t>Obra social</t>
        </is>
      </c>
      <c r="BG13" s="16" t="inlineStr">
        <is>
          <t>Sistema público</t>
        </is>
      </c>
      <c r="BH13" s="16" t="inlineStr">
        <is>
          <t>Solo cuando me siento mal</t>
        </is>
      </c>
      <c r="BI13" s="16" t="inlineStr">
        <is>
          <t>Sistema público; Otros (medicina tradicional, alternativa, etc.)</t>
        </is>
      </c>
      <c r="BJ13" s="16" t="inlineStr">
        <is>
          <t>Sí</t>
        </is>
      </c>
      <c r="BK13" s="16" t="inlineStr">
        <is>
          <t>Lumbar</t>
        </is>
      </c>
      <c r="BL13" s="16" t="inlineStr">
        <is>
          <t>Ninguno</t>
        </is>
      </c>
      <c r="BN13" s="16" t="inlineStr">
        <is>
          <t>Obesidad</t>
        </is>
      </c>
      <c r="BP13" s="16" t="inlineStr">
        <is>
          <t>Rara vez</t>
        </is>
      </c>
      <c r="BQ13" s="16" t="inlineStr">
        <is>
          <t>No</t>
        </is>
      </c>
      <c r="BS13" s="16" t="inlineStr">
        <is>
          <t>No</t>
        </is>
      </c>
      <c r="BT13" s="16" t="inlineStr">
        <is>
          <t>No</t>
        </is>
      </c>
      <c r="BU13" s="16" t="inlineStr">
        <is>
          <t>Siempre</t>
        </is>
      </c>
      <c r="BV13" s="16" t="inlineStr">
        <is>
          <t>No</t>
        </is>
      </c>
      <c r="BW13" s="16" t="inlineStr">
        <is>
          <t>No</t>
        </is>
      </c>
      <c r="BX13" s="16" t="inlineStr">
        <is>
          <t>Varón</t>
        </is>
      </c>
      <c r="BY13" s="16" t="n">
        <v>95.7</v>
      </c>
      <c r="BZ13" s="16" t="n">
        <v>1.82</v>
      </c>
      <c r="CA13" s="16" t="n">
        <v>28.9</v>
      </c>
      <c r="CB13" s="16" t="n">
        <v>84</v>
      </c>
      <c r="CC13" s="16" t="n">
        <v>147</v>
      </c>
      <c r="CD13" s="16" t="n">
        <v>93</v>
      </c>
      <c r="CE13" s="16" t="inlineStr">
        <is>
          <t>Sí</t>
        </is>
      </c>
      <c r="CF13" s="16" t="inlineStr">
        <is>
          <t>Sí</t>
        </is>
      </c>
      <c r="CG13" s="16" t="inlineStr">
        <is>
          <t>No</t>
        </is>
      </c>
      <c r="CH13" s="16" t="inlineStr">
        <is>
          <t>No</t>
        </is>
      </c>
      <c r="CI13" s="16" t="inlineStr">
        <is>
          <t>No</t>
        </is>
      </c>
      <c r="CJ13" s="16" t="inlineStr">
        <is>
          <t>No</t>
        </is>
      </c>
      <c r="CK13" s="16" t="inlineStr">
        <is>
          <t>No</t>
        </is>
      </c>
      <c r="CL13" s="16" t="inlineStr">
        <is>
          <t>Sí</t>
        </is>
      </c>
      <c r="CM13" s="16" t="inlineStr">
        <is>
          <t>07:13</t>
        </is>
      </c>
      <c r="CN13" s="16" t="inlineStr">
        <is>
          <t>Mate</t>
        </is>
      </c>
      <c r="CO13" s="16" t="inlineStr">
        <is>
          <t>11:30</t>
        </is>
      </c>
      <c r="CP13" s="16" t="n">
        <v>178</v>
      </c>
      <c r="CQ13" s="16" t="n">
        <v>257</v>
      </c>
      <c r="CR13" s="16" t="inlineStr">
        <is>
          <t>Sí</t>
        </is>
      </c>
      <c r="CS13" s="16" t="n">
        <v>1</v>
      </c>
      <c r="CT13" s="16" t="inlineStr">
        <is>
          <t>Bajo</t>
        </is>
      </c>
      <c r="CU13" s="16" t="inlineStr">
        <is>
          <t>1 %</t>
        </is>
      </c>
      <c r="CV13" s="16" t="inlineStr">
        <is>
          <t>Sí</t>
        </is>
      </c>
      <c r="CW13" s="16" t="n">
        <v>-7</v>
      </c>
      <c r="CX13" s="16" t="inlineStr">
        <is>
          <t>&lt;1</t>
        </is>
      </c>
      <c r="CY13" s="16" t="inlineStr">
        <is>
          <t>Bajo</t>
        </is>
      </c>
    </row>
    <row r="14">
      <c r="A14" s="16" t="inlineStr">
        <is>
          <t>demo-13</t>
        </is>
      </c>
      <c r="B14" s="16" t="inlineStr">
        <is>
          <t>C1-0013</t>
        </is>
      </c>
      <c r="C14" s="16" t="inlineStr">
        <is>
          <t>412-38-4612</t>
        </is>
      </c>
      <c r="D14" s="16" t="n">
        <v>412</v>
      </c>
      <c r="E14" s="16" t="n">
        <v>38</v>
      </c>
      <c r="F14" s="16" t="inlineStr">
        <is>
          <t>4612</t>
        </is>
      </c>
      <c r="G14" s="17" t="n">
        <v>46296</v>
      </c>
      <c r="H14" s="16" t="inlineStr">
        <is>
          <t>13:04</t>
        </is>
      </c>
      <c r="J14" s="16" t="inlineStr">
        <is>
          <t>C</t>
        </is>
      </c>
      <c r="K14" s="16" t="inlineStr">
        <is>
          <t>1</t>
        </is>
      </c>
      <c r="L14" s="16" t="inlineStr">
        <is>
          <t>Encuestador C</t>
        </is>
      </c>
      <c r="M14" s="16" t="inlineStr">
        <is>
          <t>Puesto 2</t>
        </is>
      </c>
      <c r="N14" s="16" t="inlineStr">
        <is>
          <t>Sí</t>
        </is>
      </c>
      <c r="O14" s="16" t="inlineStr">
        <is>
          <t>Sí</t>
        </is>
      </c>
      <c r="P14" s="16" t="n">
        <v>39</v>
      </c>
      <c r="Q14" s="16" t="inlineStr">
        <is>
          <t>Sí</t>
        </is>
      </c>
      <c r="R14" s="16" t="inlineStr">
        <is>
          <t>Sí</t>
        </is>
      </c>
      <c r="S14" s="16" t="inlineStr">
        <is>
          <t>Sí</t>
        </is>
      </c>
      <c r="T14" s="16" t="inlineStr">
        <is>
          <t>borrador</t>
        </is>
      </c>
      <c r="U14" s="16" t="inlineStr">
        <is>
          <t>2026-10-v2</t>
        </is>
      </c>
      <c r="V14" s="16" t="inlineStr">
        <is>
          <t>2026-10-01T15:00:00.000Z</t>
        </is>
      </c>
      <c r="W14" s="16" t="inlineStr">
        <is>
          <t>Paraguay</t>
        </is>
      </c>
      <c r="Y14" s="16" t="inlineStr">
        <is>
          <t>Secundaria completa</t>
        </is>
      </c>
      <c r="Z14" s="16" t="inlineStr">
        <is>
          <t>No</t>
        </is>
      </c>
      <c r="AA14" s="16" t="inlineStr">
        <is>
          <t>1</t>
        </is>
      </c>
      <c r="AB14" s="16" t="inlineStr">
        <is>
          <t>1</t>
        </is>
      </c>
      <c r="AC14" s="16" t="inlineStr">
        <is>
          <t>Guaraní; Español</t>
        </is>
      </c>
      <c r="AE14" s="16" t="inlineStr">
        <is>
          <t>Español</t>
        </is>
      </c>
      <c r="AG14" s="16" t="inlineStr">
        <is>
          <t>Argentina</t>
        </is>
      </c>
      <c r="AI14" s="16" t="inlineStr">
        <is>
          <t>Bueno</t>
        </is>
      </c>
      <c r="AJ14" s="16" t="n">
        <v>16</v>
      </c>
      <c r="AK14" s="16" t="inlineStr">
        <is>
          <t>Viaje interprovincial</t>
        </is>
      </c>
      <c r="AL14" s="16" t="inlineStr">
        <is>
          <t>Una vez al mes</t>
        </is>
      </c>
      <c r="AN14" s="16" t="inlineStr">
        <is>
          <t>Diariamente</t>
        </is>
      </c>
      <c r="AP14" s="16" t="inlineStr">
        <is>
          <t>Empleado</t>
        </is>
      </c>
      <c r="AR14" s="16" t="inlineStr">
        <is>
          <t>Conforme</t>
        </is>
      </c>
      <c r="AS14" s="16" t="inlineStr">
        <is>
          <t>Duda</t>
        </is>
      </c>
      <c r="AT14" s="16" t="n">
        <v>4.2</v>
      </c>
      <c r="AU14" s="16" t="inlineStr">
        <is>
          <t>Sí</t>
        </is>
      </c>
      <c r="AV14" s="16" t="inlineStr">
        <is>
          <t>En el camión al costado de la ruta</t>
        </is>
      </c>
      <c r="AX14" s="16" t="n">
        <v>6.3</v>
      </c>
      <c r="AY14" s="16" t="inlineStr">
        <is>
          <t>Nunca</t>
        </is>
      </c>
      <c r="AZ14" s="16" t="inlineStr">
        <is>
          <t>Gaseosas</t>
        </is>
      </c>
      <c r="BB14" s="16" t="inlineStr">
        <is>
          <t>Sí, siempre</t>
        </is>
      </c>
      <c r="BC14" s="16" t="inlineStr">
        <is>
          <t>Sí</t>
        </is>
      </c>
      <c r="BD14" s="16" t="inlineStr">
        <is>
          <t>No</t>
        </is>
      </c>
      <c r="BE14" s="16" t="inlineStr">
        <is>
          <t>Parcialmente</t>
        </is>
      </c>
      <c r="BF14" s="16" t="inlineStr">
        <is>
          <t>Obra social</t>
        </is>
      </c>
      <c r="BG14" s="16" t="inlineStr">
        <is>
          <t>Ninguno</t>
        </is>
      </c>
      <c r="BH14" s="16" t="inlineStr">
        <is>
          <t>Nunca</t>
        </is>
      </c>
      <c r="BI14" s="16" t="inlineStr">
        <is>
          <t>Sistema privado</t>
        </is>
      </c>
      <c r="BJ14" s="16" t="inlineStr">
        <is>
          <t>Sí</t>
        </is>
      </c>
      <c r="BK14" s="16" t="inlineStr">
        <is>
          <t>Rodillas</t>
        </is>
      </c>
      <c r="BL14" s="16" t="inlineStr">
        <is>
          <t>Medicamentos; Hierbas</t>
        </is>
      </c>
      <c r="BM14" s="16" t="inlineStr">
        <is>
          <t>Ibuprofeno</t>
        </is>
      </c>
      <c r="BN14" s="16" t="inlineStr">
        <is>
          <t>Obesidad</t>
        </is>
      </c>
      <c r="BP14" s="16" t="inlineStr">
        <is>
          <t>Nunca</t>
        </is>
      </c>
      <c r="BQ14" s="16" t="inlineStr">
        <is>
          <t>Café</t>
        </is>
      </c>
      <c r="BS14" s="16" t="inlineStr">
        <is>
          <t>No</t>
        </is>
      </c>
      <c r="BT14" s="16" t="inlineStr">
        <is>
          <t>No</t>
        </is>
      </c>
      <c r="BU14" s="16" t="inlineStr">
        <is>
          <t>Siempre</t>
        </is>
      </c>
      <c r="BV14" s="16" t="inlineStr">
        <is>
          <t>No</t>
        </is>
      </c>
      <c r="BW14" s="16" t="inlineStr">
        <is>
          <t>No</t>
        </is>
      </c>
      <c r="BX14" s="16" t="inlineStr">
        <is>
          <t>Varón</t>
        </is>
      </c>
      <c r="BY14" s="16" t="n">
        <v>65.09999999999999</v>
      </c>
      <c r="BZ14" s="16" t="n">
        <v>1.65</v>
      </c>
      <c r="CA14" s="16" t="n">
        <v>23.9</v>
      </c>
      <c r="CB14" s="16" t="n">
        <v>113</v>
      </c>
      <c r="CC14" s="16" t="n">
        <v>149</v>
      </c>
      <c r="CD14" s="16" t="n">
        <v>94</v>
      </c>
      <c r="CE14" s="16" t="inlineStr">
        <is>
          <t>No</t>
        </is>
      </c>
      <c r="CF14" s="16" t="inlineStr">
        <is>
          <t>No</t>
        </is>
      </c>
      <c r="CG14" s="16" t="inlineStr">
        <is>
          <t>Sí</t>
        </is>
      </c>
      <c r="CH14" s="16" t="inlineStr">
        <is>
          <t>No</t>
        </is>
      </c>
      <c r="CI14" s="16" t="inlineStr">
        <is>
          <t>No</t>
        </is>
      </c>
      <c r="CJ14" s="16" t="inlineStr">
        <is>
          <t>Sí, primer grado</t>
        </is>
      </c>
      <c r="CK14" s="16" t="inlineStr">
        <is>
          <t>No</t>
        </is>
      </c>
      <c r="CL14" s="16" t="inlineStr">
        <is>
          <t>Sí</t>
        </is>
      </c>
      <c r="CM14" s="16" t="inlineStr">
        <is>
          <t>07:49</t>
        </is>
      </c>
      <c r="CN14" s="16" t="inlineStr">
        <is>
          <t>Mate</t>
        </is>
      </c>
      <c r="CO14" s="16" t="inlineStr">
        <is>
          <t>14:30</t>
        </is>
      </c>
      <c r="CP14" s="16" t="n">
        <v>79</v>
      </c>
      <c r="CQ14" s="16" t="n">
        <v>401</v>
      </c>
      <c r="CR14" s="16" t="inlineStr">
        <is>
          <t>Sí</t>
        </is>
      </c>
      <c r="CS14" s="16" t="n">
        <v>12</v>
      </c>
      <c r="CT14" s="16" t="inlineStr">
        <is>
          <t>Moderado</t>
        </is>
      </c>
      <c r="CU14" s="16" t="inlineStr">
        <is>
          <t>17 %</t>
        </is>
      </c>
      <c r="CV14" s="16" t="inlineStr">
        <is>
          <t>Sí</t>
        </is>
      </c>
      <c r="CW14" s="16" t="n">
        <v>-3</v>
      </c>
      <c r="CX14" s="16" t="inlineStr">
        <is>
          <t>&lt;1</t>
        </is>
      </c>
      <c r="CY14" s="16" t="inlineStr">
        <is>
          <t>Bajo</t>
        </is>
      </c>
    </row>
    <row r="15">
      <c r="A15" s="16" t="inlineStr">
        <is>
          <t>demo-14</t>
        </is>
      </c>
      <c r="B15" s="16" t="inlineStr">
        <is>
          <t>A1-0014</t>
        </is>
      </c>
      <c r="C15" s="16" t="inlineStr">
        <is>
          <t>014-43-4400</t>
        </is>
      </c>
      <c r="D15" s="16" t="n">
        <v>14</v>
      </c>
      <c r="E15" s="16" t="n">
        <v>43</v>
      </c>
      <c r="F15" s="16" t="inlineStr">
        <is>
          <t>4400</t>
        </is>
      </c>
      <c r="G15" s="17" t="n">
        <v>46301</v>
      </c>
      <c r="H15" s="16" t="inlineStr">
        <is>
          <t>13:03</t>
        </is>
      </c>
      <c r="J15" s="16" t="inlineStr">
        <is>
          <t>A</t>
        </is>
      </c>
      <c r="K15" s="16" t="inlineStr">
        <is>
          <t>1</t>
        </is>
      </c>
      <c r="L15" s="16" t="inlineStr">
        <is>
          <t>Encuestador A</t>
        </is>
      </c>
      <c r="M15" s="16" t="inlineStr">
        <is>
          <t>Puesto 1</t>
        </is>
      </c>
      <c r="N15" s="16" t="inlineStr">
        <is>
          <t>Sí</t>
        </is>
      </c>
      <c r="O15" s="16" t="inlineStr">
        <is>
          <t>Sí</t>
        </is>
      </c>
      <c r="P15" s="16" t="n">
        <v>39</v>
      </c>
      <c r="Q15" s="16" t="inlineStr">
        <is>
          <t>Sí</t>
        </is>
      </c>
      <c r="R15" s="16" t="inlineStr">
        <is>
          <t>Sí</t>
        </is>
      </c>
      <c r="S15" s="16" t="inlineStr">
        <is>
          <t>Sí</t>
        </is>
      </c>
      <c r="T15" s="16" t="inlineStr">
        <is>
          <t>finalizado</t>
        </is>
      </c>
      <c r="U15" s="16" t="inlineStr">
        <is>
          <t>2026-10-v2</t>
        </is>
      </c>
      <c r="V15" s="16" t="inlineStr">
        <is>
          <t>2026-10-06T15:00:00.000Z</t>
        </is>
      </c>
      <c r="W15" s="16" t="inlineStr">
        <is>
          <t>Brasil</t>
        </is>
      </c>
      <c r="Y15" s="16" t="inlineStr">
        <is>
          <t>Secundaria incompleta</t>
        </is>
      </c>
      <c r="Z15" s="16" t="inlineStr">
        <is>
          <t>Sí</t>
        </is>
      </c>
      <c r="AA15" s="16" t="inlineStr">
        <is>
          <t>3</t>
        </is>
      </c>
      <c r="AB15" s="16" t="inlineStr">
        <is>
          <t>1</t>
        </is>
      </c>
      <c r="AC15" s="16" t="inlineStr">
        <is>
          <t>Guaraní; Español</t>
        </is>
      </c>
      <c r="AE15" s="16" t="inlineStr">
        <is>
          <t>Español</t>
        </is>
      </c>
      <c r="AG15" s="16" t="inlineStr">
        <is>
          <t>Argentina</t>
        </is>
      </c>
      <c r="AI15" s="16" t="inlineStr">
        <is>
          <t>Muy malo</t>
        </is>
      </c>
      <c r="AJ15" s="16" t="n">
        <v>22</v>
      </c>
      <c r="AK15" s="16" t="inlineStr">
        <is>
          <t>Viaje provincial (Jujuy)</t>
        </is>
      </c>
      <c r="AL15" s="16" t="inlineStr">
        <is>
          <t>Quincenalmente</t>
        </is>
      </c>
      <c r="AN15" s="16" t="inlineStr">
        <is>
          <t>Una vez a la semana</t>
        </is>
      </c>
      <c r="AP15" s="16" t="inlineStr">
        <is>
          <t>Empleado</t>
        </is>
      </c>
      <c r="AR15" s="16" t="inlineStr">
        <is>
          <t>Disconforme</t>
        </is>
      </c>
      <c r="AS15" s="16" t="inlineStr">
        <is>
          <t>No</t>
        </is>
      </c>
      <c r="AT15" s="16" t="n">
        <v>4.6</v>
      </c>
      <c r="AU15" s="16" t="inlineStr">
        <is>
          <t>Sí</t>
        </is>
      </c>
      <c r="AV15" s="16" t="inlineStr">
        <is>
          <t>Estaciones de servicio</t>
        </is>
      </c>
      <c r="AX15" s="16" t="n">
        <v>5.5</v>
      </c>
      <c r="AY15" s="16" t="inlineStr">
        <is>
          <t>Nunca</t>
        </is>
      </c>
      <c r="AZ15" s="16" t="inlineStr">
        <is>
          <t>Gaseosas</t>
        </is>
      </c>
      <c r="BB15" s="16" t="inlineStr">
        <is>
          <t>A veces</t>
        </is>
      </c>
      <c r="BC15" s="16" t="inlineStr">
        <is>
          <t>Sí</t>
        </is>
      </c>
      <c r="BD15" s="16" t="inlineStr">
        <is>
          <t>No</t>
        </is>
      </c>
      <c r="BE15" s="16" t="inlineStr">
        <is>
          <t>Sí</t>
        </is>
      </c>
      <c r="BF15" s="16" t="inlineStr">
        <is>
          <t>Obra social</t>
        </is>
      </c>
      <c r="BG15" s="16" t="inlineStr">
        <is>
          <t>Ninguno</t>
        </is>
      </c>
      <c r="BH15" s="16" t="inlineStr">
        <is>
          <t>2 veces al año</t>
        </is>
      </c>
      <c r="BI15" s="16" t="inlineStr">
        <is>
          <t>Sistema privado</t>
        </is>
      </c>
      <c r="BJ15" s="16" t="inlineStr">
        <is>
          <t>Sí</t>
        </is>
      </c>
      <c r="BK15" s="16" t="inlineStr">
        <is>
          <t>Rodillas</t>
        </is>
      </c>
      <c r="BL15" s="16" t="inlineStr">
        <is>
          <t>Medicamentos</t>
        </is>
      </c>
      <c r="BM15" s="16" t="inlineStr">
        <is>
          <t>Ibuprofeno</t>
        </is>
      </c>
      <c r="BN15" s="16" t="inlineStr">
        <is>
          <t>Musculoesqueléticos; Digestivas</t>
        </is>
      </c>
      <c r="BP15" s="16" t="inlineStr">
        <is>
          <t>Rara vez</t>
        </is>
      </c>
      <c r="BQ15" s="16" t="inlineStr">
        <is>
          <t>Energizantes (Speed, Monster, Red Bull, etc.)</t>
        </is>
      </c>
      <c r="BS15" s="16" t="inlineStr">
        <is>
          <t>No</t>
        </is>
      </c>
      <c r="BT15" s="16" t="inlineStr">
        <is>
          <t>Sí</t>
        </is>
      </c>
      <c r="BU15" s="16" t="inlineStr">
        <is>
          <t>Nunca</t>
        </is>
      </c>
      <c r="BV15" s="16" t="inlineStr">
        <is>
          <t>Sí</t>
        </is>
      </c>
      <c r="BW15" s="16" t="inlineStr">
        <is>
          <t>No</t>
        </is>
      </c>
      <c r="BX15" s="16" t="inlineStr">
        <is>
          <t>Varón</t>
        </is>
      </c>
      <c r="BY15" s="16" t="n">
        <v>75.7</v>
      </c>
      <c r="BZ15" s="16" t="n">
        <v>1.63</v>
      </c>
      <c r="CA15" s="16" t="n">
        <v>28.5</v>
      </c>
      <c r="CB15" s="16" t="n">
        <v>115</v>
      </c>
      <c r="CC15" s="16" t="n">
        <v>125</v>
      </c>
      <c r="CD15" s="16" t="n">
        <v>80</v>
      </c>
      <c r="CE15" s="16" t="inlineStr">
        <is>
          <t>Sí</t>
        </is>
      </c>
      <c r="CF15" s="16" t="inlineStr">
        <is>
          <t>No</t>
        </is>
      </c>
      <c r="CG15" s="16" t="inlineStr">
        <is>
          <t>No</t>
        </is>
      </c>
      <c r="CH15" s="16" t="inlineStr">
        <is>
          <t>No</t>
        </is>
      </c>
      <c r="CI15" s="16" t="inlineStr">
        <is>
          <t>No</t>
        </is>
      </c>
      <c r="CJ15" s="16" t="inlineStr">
        <is>
          <t>Sí, primer grado</t>
        </is>
      </c>
      <c r="CK15" s="16" t="inlineStr">
        <is>
          <t>No</t>
        </is>
      </c>
      <c r="CL15" s="16" t="inlineStr">
        <is>
          <t>Sí</t>
        </is>
      </c>
      <c r="CM15" s="16" t="inlineStr">
        <is>
          <t>07:13</t>
        </is>
      </c>
      <c r="CN15" s="16" t="inlineStr">
        <is>
          <t>Mate</t>
        </is>
      </c>
      <c r="CO15" s="16" t="inlineStr">
        <is>
          <t>10:30</t>
        </is>
      </c>
      <c r="CP15" s="16" t="n">
        <v>181</v>
      </c>
      <c r="CQ15" s="16" t="n">
        <v>197</v>
      </c>
      <c r="CR15" s="16" t="inlineStr">
        <is>
          <t>Sí</t>
        </is>
      </c>
      <c r="CS15" s="16" t="n">
        <v>11</v>
      </c>
      <c r="CT15" s="16" t="inlineStr">
        <is>
          <t>Ligeramente elevado</t>
        </is>
      </c>
      <c r="CU15" s="16" t="inlineStr">
        <is>
          <t>4 %</t>
        </is>
      </c>
      <c r="CV15" s="16" t="inlineStr">
        <is>
          <t>Sí</t>
        </is>
      </c>
      <c r="CW15" s="16" t="n">
        <v>1</v>
      </c>
      <c r="CX15" s="16" t="inlineStr">
        <is>
          <t>1</t>
        </is>
      </c>
      <c r="CY15" s="16" t="inlineStr">
        <is>
          <t>Bajo</t>
        </is>
      </c>
    </row>
    <row r="16">
      <c r="A16" s="16" t="inlineStr">
        <is>
          <t>demo-15</t>
        </is>
      </c>
      <c r="B16" s="16" t="inlineStr">
        <is>
          <t>B1-0015</t>
        </is>
      </c>
      <c r="C16" s="16" t="inlineStr">
        <is>
          <t>214-59-4500</t>
        </is>
      </c>
      <c r="D16" s="16" t="n">
        <v>214</v>
      </c>
      <c r="E16" s="16" t="n">
        <v>59</v>
      </c>
      <c r="F16" s="16" t="inlineStr">
        <is>
          <t>4500</t>
        </is>
      </c>
      <c r="G16" s="17" t="n">
        <v>46294</v>
      </c>
      <c r="H16" s="16" t="inlineStr">
        <is>
          <t>11:03</t>
        </is>
      </c>
      <c r="J16" s="16" t="inlineStr">
        <is>
          <t>B</t>
        </is>
      </c>
      <c r="K16" s="16" t="inlineStr">
        <is>
          <t>1</t>
        </is>
      </c>
      <c r="L16" s="16" t="inlineStr">
        <is>
          <t>Encuestador B</t>
        </is>
      </c>
      <c r="M16" s="16" t="inlineStr">
        <is>
          <t>Puesto 2</t>
        </is>
      </c>
      <c r="N16" s="16" t="inlineStr">
        <is>
          <t>Sí</t>
        </is>
      </c>
      <c r="O16" s="16" t="inlineStr">
        <is>
          <t>Sí</t>
        </is>
      </c>
      <c r="P16" s="16" t="n">
        <v>39</v>
      </c>
      <c r="Q16" s="16" t="inlineStr">
        <is>
          <t>Sí</t>
        </is>
      </c>
      <c r="R16" s="16" t="inlineStr">
        <is>
          <t>Sí</t>
        </is>
      </c>
      <c r="S16" s="16" t="inlineStr">
        <is>
          <t>Sí</t>
        </is>
      </c>
      <c r="T16" s="16" t="inlineStr">
        <is>
          <t>finalizado</t>
        </is>
      </c>
      <c r="U16" s="16" t="inlineStr">
        <is>
          <t>2026-10-v2</t>
        </is>
      </c>
      <c r="V16" s="16" t="inlineStr">
        <is>
          <t>2026-09-29T15:00:00.000Z</t>
        </is>
      </c>
      <c r="W16" s="16" t="inlineStr">
        <is>
          <t>Argentina</t>
        </is>
      </c>
      <c r="Y16" s="16" t="inlineStr">
        <is>
          <t>Secundaria incompleta</t>
        </is>
      </c>
      <c r="Z16" s="16" t="inlineStr">
        <is>
          <t>Sí</t>
        </is>
      </c>
      <c r="AA16" s="16" t="inlineStr">
        <is>
          <t>3</t>
        </is>
      </c>
      <c r="AB16" s="16" t="inlineStr">
        <is>
          <t>1</t>
        </is>
      </c>
      <c r="AC16" s="16" t="inlineStr">
        <is>
          <t>Guaraní</t>
        </is>
      </c>
      <c r="AE16" s="16" t="inlineStr">
        <is>
          <t>Español</t>
        </is>
      </c>
      <c r="AG16" s="16" t="inlineStr">
        <is>
          <t>Argentina</t>
        </is>
      </c>
      <c r="AI16" s="16" t="inlineStr">
        <is>
          <t>Regular</t>
        </is>
      </c>
      <c r="AJ16" s="16" t="n">
        <v>37</v>
      </c>
      <c r="AK16" s="16" t="inlineStr">
        <is>
          <t>Viaje provincial (Jujuy)</t>
        </is>
      </c>
      <c r="AL16" s="16" t="inlineStr">
        <is>
          <t>2 veces por semana</t>
        </is>
      </c>
      <c r="AN16" s="16" t="inlineStr">
        <is>
          <t>2 veces por semana</t>
        </is>
      </c>
      <c r="AP16" s="16" t="inlineStr">
        <is>
          <t>Dueño del camión</t>
        </is>
      </c>
      <c r="AR16" s="16" t="inlineStr">
        <is>
          <t>Parcialmente conforme</t>
        </is>
      </c>
      <c r="AS16" s="16" t="inlineStr">
        <is>
          <t>Duda</t>
        </is>
      </c>
      <c r="AT16" s="16" t="n">
        <v>2.1</v>
      </c>
      <c r="AU16" s="16" t="inlineStr">
        <is>
          <t>Sí</t>
        </is>
      </c>
      <c r="AV16" s="16" t="inlineStr">
        <is>
          <t>Paradores; En el camión al costado de la ruta</t>
        </is>
      </c>
      <c r="AX16" s="16" t="n">
        <v>6.9</v>
      </c>
      <c r="AY16" s="16" t="inlineStr">
        <is>
          <t>Varias veces por semana</t>
        </is>
      </c>
      <c r="AZ16" s="16" t="inlineStr">
        <is>
          <t>Jugos artificiales; Café</t>
        </is>
      </c>
      <c r="BB16" s="16" t="inlineStr">
        <is>
          <t>Nunca</t>
        </is>
      </c>
      <c r="BC16" s="16" t="inlineStr">
        <is>
          <t>Rara vez</t>
        </is>
      </c>
      <c r="BD16" s="16" t="inlineStr">
        <is>
          <t>Sí</t>
        </is>
      </c>
      <c r="BE16" s="16" t="inlineStr">
        <is>
          <t>No</t>
        </is>
      </c>
      <c r="BF16" s="16" t="inlineStr">
        <is>
          <t>Obra social</t>
        </is>
      </c>
      <c r="BG16" s="16" t="inlineStr">
        <is>
          <t>Sistema público</t>
        </is>
      </c>
      <c r="BH16" s="16" t="inlineStr">
        <is>
          <t>Solo cuando me siento mal</t>
        </is>
      </c>
      <c r="BI16" s="16" t="inlineStr">
        <is>
          <t>Sistema público; Otros (medicina tradicional, alternativa, etc.)</t>
        </is>
      </c>
      <c r="BJ16" s="16" t="inlineStr">
        <is>
          <t>Sí</t>
        </is>
      </c>
      <c r="BK16" s="16" t="inlineStr">
        <is>
          <t>Cervical</t>
        </is>
      </c>
      <c r="BL16" s="16" t="inlineStr">
        <is>
          <t>Medicamentos; Hierbas</t>
        </is>
      </c>
      <c r="BM16" s="16" t="inlineStr">
        <is>
          <t>Ibuprofeno</t>
        </is>
      </c>
      <c r="BN16" s="16" t="inlineStr">
        <is>
          <t>No tengo diagnóstico de enfermedad</t>
        </is>
      </c>
      <c r="BP16" s="16" t="inlineStr">
        <is>
          <t>Rara vez</t>
        </is>
      </c>
      <c r="BQ16" s="16" t="inlineStr">
        <is>
          <t>Energizantes (Speed, Monster, Red Bull, etc.)</t>
        </is>
      </c>
      <c r="BS16" s="16" t="inlineStr">
        <is>
          <t>Sí</t>
        </is>
      </c>
      <c r="BT16" s="16" t="inlineStr">
        <is>
          <t>Sí</t>
        </is>
      </c>
      <c r="BU16" s="16" t="inlineStr">
        <is>
          <t>A veces</t>
        </is>
      </c>
      <c r="BV16" s="16" t="inlineStr">
        <is>
          <t>No</t>
        </is>
      </c>
      <c r="BW16" s="16" t="inlineStr">
        <is>
          <t>Sí</t>
        </is>
      </c>
      <c r="BX16" s="16" t="inlineStr">
        <is>
          <t>Varón</t>
        </is>
      </c>
      <c r="BY16" s="16" t="n">
        <v>116.3</v>
      </c>
      <c r="BZ16" s="16" t="n">
        <v>1.8</v>
      </c>
      <c r="CA16" s="16" t="n">
        <v>35.9</v>
      </c>
      <c r="CB16" s="16" t="n">
        <v>78</v>
      </c>
      <c r="CC16" s="16" t="n">
        <v>146</v>
      </c>
      <c r="CD16" s="16" t="n">
        <v>93</v>
      </c>
      <c r="CE16" s="16" t="inlineStr">
        <is>
          <t>No</t>
        </is>
      </c>
      <c r="CF16" s="16" t="inlineStr">
        <is>
          <t>Sí</t>
        </is>
      </c>
      <c r="CG16" s="16" t="inlineStr">
        <is>
          <t>No</t>
        </is>
      </c>
      <c r="CH16" s="16" t="inlineStr">
        <is>
          <t>No</t>
        </is>
      </c>
      <c r="CI16" s="16" t="inlineStr">
        <is>
          <t>No</t>
        </is>
      </c>
      <c r="CJ16" s="16" t="inlineStr">
        <is>
          <t>No</t>
        </is>
      </c>
      <c r="CK16" s="16" t="inlineStr">
        <is>
          <t>No</t>
        </is>
      </c>
      <c r="CL16" s="16" t="inlineStr">
        <is>
          <t>Sí</t>
        </is>
      </c>
      <c r="CM16" s="16" t="inlineStr">
        <is>
          <t>07:45</t>
        </is>
      </c>
      <c r="CN16" s="16" t="inlineStr">
        <is>
          <t>Mate</t>
        </is>
      </c>
      <c r="CO16" s="16" t="inlineStr">
        <is>
          <t>14:30</t>
        </is>
      </c>
      <c r="CP16" s="16" t="n">
        <v>110</v>
      </c>
      <c r="CQ16" s="16" t="n">
        <v>405</v>
      </c>
      <c r="CR16" s="16" t="inlineStr">
        <is>
          <t>No</t>
        </is>
      </c>
      <c r="CV16" s="16" t="inlineStr">
        <is>
          <t>Sí</t>
        </is>
      </c>
      <c r="CW16" s="16" t="n">
        <v>14</v>
      </c>
      <c r="CX16" s="16" t="inlineStr">
        <is>
          <t>16</t>
        </is>
      </c>
      <c r="CY16" s="16" t="inlineStr">
        <is>
          <t>Moderado</t>
        </is>
      </c>
    </row>
    <row r="17">
      <c r="A17" s="16" t="inlineStr">
        <is>
          <t>demo-16</t>
        </is>
      </c>
      <c r="B17" s="16" t="inlineStr">
        <is>
          <t>C1-0016</t>
        </is>
      </c>
      <c r="C17" s="16" t="inlineStr">
        <is>
          <t>415-38-4500</t>
        </is>
      </c>
      <c r="D17" s="16" t="n">
        <v>415</v>
      </c>
      <c r="E17" s="16" t="n">
        <v>38</v>
      </c>
      <c r="F17" s="16" t="inlineStr">
        <is>
          <t>4500</t>
        </is>
      </c>
      <c r="G17" s="17" t="n">
        <v>46295</v>
      </c>
      <c r="H17" s="16" t="inlineStr">
        <is>
          <t>16:02</t>
        </is>
      </c>
      <c r="J17" s="16" t="inlineStr">
        <is>
          <t>C</t>
        </is>
      </c>
      <c r="K17" s="16" t="inlineStr">
        <is>
          <t>1</t>
        </is>
      </c>
      <c r="L17" s="16" t="inlineStr">
        <is>
          <t>Encuestador C</t>
        </is>
      </c>
      <c r="M17" s="16" t="inlineStr">
        <is>
          <t>Puesto 1</t>
        </is>
      </c>
      <c r="N17" s="16" t="inlineStr">
        <is>
          <t>Sí</t>
        </is>
      </c>
      <c r="O17" s="16" t="inlineStr">
        <is>
          <t>Sí</t>
        </is>
      </c>
      <c r="P17" s="16" t="n">
        <v>39</v>
      </c>
      <c r="Q17" s="16" t="inlineStr">
        <is>
          <t>Sí</t>
        </is>
      </c>
      <c r="R17" s="16" t="inlineStr">
        <is>
          <t>Sí</t>
        </is>
      </c>
      <c r="S17" s="16" t="inlineStr">
        <is>
          <t>Sí</t>
        </is>
      </c>
      <c r="T17" s="16" t="inlineStr">
        <is>
          <t>finalizado</t>
        </is>
      </c>
      <c r="U17" s="16" t="inlineStr">
        <is>
          <t>2026-10-v2</t>
        </is>
      </c>
      <c r="V17" s="16" t="inlineStr">
        <is>
          <t>2026-09-30T15:00:00.000Z</t>
        </is>
      </c>
      <c r="W17" s="16" t="inlineStr">
        <is>
          <t>Brasil</t>
        </is>
      </c>
      <c r="Y17" s="16" t="inlineStr">
        <is>
          <t>Secundaria incompleta</t>
        </is>
      </c>
      <c r="Z17" s="16" t="inlineStr">
        <is>
          <t>Sí</t>
        </is>
      </c>
      <c r="AA17" s="16" t="inlineStr">
        <is>
          <t>Más de 5</t>
        </is>
      </c>
      <c r="AB17" s="16" t="inlineStr">
        <is>
          <t>3</t>
        </is>
      </c>
      <c r="AC17" s="16" t="inlineStr">
        <is>
          <t>Portugués</t>
        </is>
      </c>
      <c r="AE17" s="16" t="inlineStr">
        <is>
          <t>Español</t>
        </is>
      </c>
      <c r="AG17" s="16" t="inlineStr">
        <is>
          <t>Argentina</t>
        </is>
      </c>
      <c r="AI17" s="16" t="inlineStr">
        <is>
          <t>Regular</t>
        </is>
      </c>
      <c r="AJ17" s="16" t="n">
        <v>6</v>
      </c>
      <c r="AK17" s="16" t="inlineStr">
        <is>
          <t>Viaje internacional</t>
        </is>
      </c>
      <c r="AL17" s="16" t="inlineStr">
        <is>
          <t>Quincenalmente</t>
        </is>
      </c>
      <c r="AN17" s="16" t="inlineStr">
        <is>
          <t>2 veces por semana</t>
        </is>
      </c>
      <c r="AP17" s="16" t="inlineStr">
        <is>
          <t>Empleado</t>
        </is>
      </c>
      <c r="AR17" s="16" t="inlineStr">
        <is>
          <t>Parcialmente conforme</t>
        </is>
      </c>
      <c r="AS17" s="16" t="inlineStr">
        <is>
          <t>Duda</t>
        </is>
      </c>
      <c r="AT17" s="16" t="n">
        <v>7.8</v>
      </c>
      <c r="AU17" s="16" t="inlineStr">
        <is>
          <t>Sí</t>
        </is>
      </c>
      <c r="AV17" s="16" t="inlineStr">
        <is>
          <t>En el camión al costado de la ruta</t>
        </is>
      </c>
      <c r="AX17" s="16" t="n">
        <v>5.9</v>
      </c>
      <c r="AY17" s="16" t="inlineStr">
        <is>
          <t>Todos los días</t>
        </is>
      </c>
      <c r="AZ17" s="16" t="inlineStr">
        <is>
          <t>Gaseosas</t>
        </is>
      </c>
      <c r="BB17" s="16" t="inlineStr">
        <is>
          <t>Sí, siempre</t>
        </is>
      </c>
      <c r="BC17" s="16" t="inlineStr">
        <is>
          <t>Rara vez</t>
        </is>
      </c>
      <c r="BD17" s="16" t="inlineStr">
        <is>
          <t>No</t>
        </is>
      </c>
      <c r="BE17" s="16" t="inlineStr">
        <is>
          <t>No</t>
        </is>
      </c>
      <c r="BF17" s="16" t="inlineStr">
        <is>
          <t>Obra social</t>
        </is>
      </c>
      <c r="BG17" s="16" t="inlineStr">
        <is>
          <t>Sistema privado</t>
        </is>
      </c>
      <c r="BH17" s="16" t="inlineStr">
        <is>
          <t>Nunca</t>
        </is>
      </c>
      <c r="BI17" s="16" t="inlineStr">
        <is>
          <t>Sistema público; Otros (medicina tradicional, alternativa, etc.)</t>
        </is>
      </c>
      <c r="BJ17" s="16" t="inlineStr">
        <is>
          <t>Sí</t>
        </is>
      </c>
      <c r="BK17" s="16" t="inlineStr">
        <is>
          <t>Cervical</t>
        </is>
      </c>
      <c r="BL17" s="16" t="inlineStr">
        <is>
          <t>Medicamentos</t>
        </is>
      </c>
      <c r="BM17" s="16" t="inlineStr">
        <is>
          <t>Ibuprofeno</t>
        </is>
      </c>
      <c r="BN17" s="16" t="inlineStr">
        <is>
          <t>Obesidad</t>
        </is>
      </c>
      <c r="BP17" s="16" t="inlineStr">
        <is>
          <t>2 a 3 veces por semana</t>
        </is>
      </c>
      <c r="BQ17" s="16" t="inlineStr">
        <is>
          <t>Energizantes (Speed, Monster, Red Bull, etc.)</t>
        </is>
      </c>
      <c r="BS17" s="16" t="inlineStr">
        <is>
          <t>Sí</t>
        </is>
      </c>
      <c r="BT17" s="16" t="inlineStr">
        <is>
          <t>Sí</t>
        </is>
      </c>
      <c r="BU17" s="16" t="inlineStr">
        <is>
          <t>Nunca</t>
        </is>
      </c>
      <c r="BV17" s="16" t="inlineStr">
        <is>
          <t>No</t>
        </is>
      </c>
      <c r="BW17" s="16" t="inlineStr">
        <is>
          <t>No</t>
        </is>
      </c>
      <c r="BX17" s="16" t="inlineStr">
        <is>
          <t>Varón</t>
        </is>
      </c>
      <c r="BY17" s="16" t="n">
        <v>57.1</v>
      </c>
      <c r="BZ17" s="16" t="n">
        <v>1.63</v>
      </c>
      <c r="CA17" s="16" t="n">
        <v>21.5</v>
      </c>
      <c r="CB17" s="16" t="n">
        <v>88</v>
      </c>
      <c r="CC17" s="16" t="n">
        <v>135</v>
      </c>
      <c r="CD17" s="16" t="n">
        <v>86</v>
      </c>
      <c r="CE17" s="16" t="inlineStr">
        <is>
          <t>Sí</t>
        </is>
      </c>
      <c r="CF17" s="16" t="inlineStr">
        <is>
          <t>No</t>
        </is>
      </c>
      <c r="CG17" s="16" t="inlineStr">
        <is>
          <t>Sí</t>
        </is>
      </c>
      <c r="CH17" s="16" t="inlineStr">
        <is>
          <t>No</t>
        </is>
      </c>
      <c r="CI17" s="16" t="inlineStr">
        <is>
          <t>No</t>
        </is>
      </c>
      <c r="CJ17" s="16" t="inlineStr">
        <is>
          <t>No</t>
        </is>
      </c>
      <c r="CK17" s="16" t="inlineStr">
        <is>
          <t>Sí</t>
        </is>
      </c>
      <c r="CL17" s="16" t="inlineStr">
        <is>
          <t>Sí</t>
        </is>
      </c>
      <c r="CM17" s="16" t="inlineStr">
        <is>
          <t>07:28</t>
        </is>
      </c>
      <c r="CN17" s="16" t="inlineStr">
        <is>
          <t>Mate</t>
        </is>
      </c>
      <c r="CO17" s="16" t="inlineStr">
        <is>
          <t>11:30</t>
        </is>
      </c>
      <c r="CP17" s="16" t="n">
        <v>146</v>
      </c>
      <c r="CQ17" s="16" t="n">
        <v>242</v>
      </c>
      <c r="CR17" s="16" t="inlineStr">
        <is>
          <t>Sí</t>
        </is>
      </c>
      <c r="CS17" s="16" t="n">
        <v>1</v>
      </c>
      <c r="CT17" s="16" t="inlineStr">
        <is>
          <t>Bajo</t>
        </is>
      </c>
      <c r="CU17" s="16" t="inlineStr">
        <is>
          <t>1 %</t>
        </is>
      </c>
      <c r="CV17" s="16" t="inlineStr">
        <is>
          <t>Sí</t>
        </is>
      </c>
      <c r="CW17" s="16" t="n">
        <v>5</v>
      </c>
      <c r="CX17" s="16" t="inlineStr">
        <is>
          <t>2</t>
        </is>
      </c>
      <c r="CY17" s="16" t="inlineStr">
        <is>
          <t>Bajo</t>
        </is>
      </c>
    </row>
    <row r="18">
      <c r="A18" s="16" t="inlineStr">
        <is>
          <t>demo-17</t>
        </is>
      </c>
      <c r="B18" s="16" t="inlineStr">
        <is>
          <t>B1-0017</t>
        </is>
      </c>
      <c r="C18" s="16" t="inlineStr">
        <is>
          <t>216-28-4500</t>
        </is>
      </c>
      <c r="D18" s="16" t="n">
        <v>216</v>
      </c>
      <c r="E18" s="16" t="n">
        <v>28</v>
      </c>
      <c r="F18" s="16" t="inlineStr">
        <is>
          <t>4500</t>
        </is>
      </c>
      <c r="G18" s="17" t="n">
        <v>46289</v>
      </c>
      <c r="H18" s="16" t="inlineStr">
        <is>
          <t>16:08</t>
        </is>
      </c>
      <c r="J18" s="16" t="inlineStr">
        <is>
          <t>B</t>
        </is>
      </c>
      <c r="K18" s="16" t="inlineStr">
        <is>
          <t>1</t>
        </is>
      </c>
      <c r="L18" s="16" t="inlineStr">
        <is>
          <t>Encuestador B</t>
        </is>
      </c>
      <c r="M18" s="16" t="inlineStr">
        <is>
          <t>Puesto 2</t>
        </is>
      </c>
      <c r="N18" s="16" t="inlineStr">
        <is>
          <t>Sí</t>
        </is>
      </c>
      <c r="O18" s="16" t="inlineStr">
        <is>
          <t>Sí</t>
        </is>
      </c>
      <c r="P18" s="16" t="n">
        <v>38</v>
      </c>
      <c r="Q18" s="16" t="inlineStr">
        <is>
          <t>Sí</t>
        </is>
      </c>
      <c r="R18" s="16" t="inlineStr">
        <is>
          <t>Sí</t>
        </is>
      </c>
      <c r="S18" s="16" t="inlineStr">
        <is>
          <t>Sí</t>
        </is>
      </c>
      <c r="T18" s="16" t="inlineStr">
        <is>
          <t>finalizado</t>
        </is>
      </c>
      <c r="U18" s="16" t="inlineStr">
        <is>
          <t>2026-10-v2</t>
        </is>
      </c>
      <c r="V18" s="16" t="inlineStr">
        <is>
          <t>2026-09-24T15:00:00.000Z</t>
        </is>
      </c>
      <c r="W18" s="16" t="inlineStr">
        <is>
          <t>Argentina</t>
        </is>
      </c>
      <c r="Y18" s="16" t="inlineStr">
        <is>
          <t>Terciario incompleto</t>
        </is>
      </c>
      <c r="Z18" s="16" t="inlineStr">
        <is>
          <t>Sí</t>
        </is>
      </c>
      <c r="AA18" s="16" t="inlineStr">
        <is>
          <t>Más de 5</t>
        </is>
      </c>
      <c r="AB18" s="16" t="inlineStr">
        <is>
          <t>Más de 5</t>
        </is>
      </c>
      <c r="AC18" s="16" t="inlineStr">
        <is>
          <t>Guaraní; Español</t>
        </is>
      </c>
      <c r="AE18" s="16" t="inlineStr">
        <is>
          <t>Español</t>
        </is>
      </c>
      <c r="AG18" s="16" t="inlineStr">
        <is>
          <t>Argentina</t>
        </is>
      </c>
      <c r="AI18" s="16" t="inlineStr">
        <is>
          <t>Muy malo</t>
        </is>
      </c>
      <c r="AJ18" s="16" t="n">
        <v>7</v>
      </c>
      <c r="AK18" s="16" t="inlineStr">
        <is>
          <t>Viaje internacional</t>
        </is>
      </c>
      <c r="AL18" s="16" t="inlineStr">
        <is>
          <t>Una vez a la semana</t>
        </is>
      </c>
      <c r="AN18" s="16" t="inlineStr">
        <is>
          <t>Una vez a la semana</t>
        </is>
      </c>
      <c r="AP18" s="16" t="inlineStr">
        <is>
          <t>Dueño del camión</t>
        </is>
      </c>
      <c r="AR18" s="16" t="inlineStr">
        <is>
          <t>Disconforme</t>
        </is>
      </c>
      <c r="AS18" s="16" t="inlineStr">
        <is>
          <t>Sí</t>
        </is>
      </c>
      <c r="AT18" s="16" t="n">
        <v>4</v>
      </c>
      <c r="AU18" s="16" t="inlineStr">
        <is>
          <t>Sí</t>
        </is>
      </c>
      <c r="AV18" s="16" t="inlineStr">
        <is>
          <t>En el camión al costado de la ruta; Paradores</t>
        </is>
      </c>
      <c r="AX18" s="16" t="n">
        <v>5.6</v>
      </c>
      <c r="AY18" s="16" t="inlineStr">
        <is>
          <t>Varias veces por semana</t>
        </is>
      </c>
      <c r="AZ18" s="16" t="inlineStr">
        <is>
          <t>Agua; Jugos artificiales</t>
        </is>
      </c>
      <c r="BB18" s="16" t="inlineStr">
        <is>
          <t>Sí, siempre</t>
        </is>
      </c>
      <c r="BC18" s="16" t="inlineStr">
        <is>
          <t>Algunas veces</t>
        </is>
      </c>
      <c r="BD18" s="16" t="inlineStr">
        <is>
          <t>No</t>
        </is>
      </c>
      <c r="BE18" s="16" t="inlineStr">
        <is>
          <t>Sí</t>
        </is>
      </c>
      <c r="BF18" s="16" t="inlineStr">
        <is>
          <t>Obra social</t>
        </is>
      </c>
      <c r="BG18" s="16" t="inlineStr">
        <is>
          <t>Sistema privado</t>
        </is>
      </c>
      <c r="BH18" s="16" t="inlineStr">
        <is>
          <t>Una vez al año</t>
        </is>
      </c>
      <c r="BI18" s="16" t="inlineStr">
        <is>
          <t>Sistema público; Otros (medicina tradicional, alternativa, etc.)</t>
        </is>
      </c>
      <c r="BJ18" s="16" t="inlineStr">
        <is>
          <t>Sí</t>
        </is>
      </c>
      <c r="BK18" s="16" t="inlineStr">
        <is>
          <t>Rodillas</t>
        </is>
      </c>
      <c r="BL18" s="16" t="inlineStr">
        <is>
          <t>Ninguno</t>
        </is>
      </c>
      <c r="BN18" s="16" t="inlineStr">
        <is>
          <t>Musculoesqueléticos</t>
        </is>
      </c>
      <c r="BP18" s="16" t="inlineStr">
        <is>
          <t>2 a 3 veces por semana</t>
        </is>
      </c>
      <c r="BQ18" s="16" t="inlineStr">
        <is>
          <t>Yerba mate</t>
        </is>
      </c>
      <c r="BS18" s="16" t="inlineStr">
        <is>
          <t>Sí</t>
        </is>
      </c>
      <c r="BT18" s="16" t="inlineStr">
        <is>
          <t>Sí</t>
        </is>
      </c>
      <c r="BU18" s="16" t="inlineStr">
        <is>
          <t>Nunca</t>
        </is>
      </c>
      <c r="BV18" s="16" t="inlineStr">
        <is>
          <t>Sí</t>
        </is>
      </c>
      <c r="BW18" s="16" t="inlineStr">
        <is>
          <t>No</t>
        </is>
      </c>
      <c r="BX18" s="16" t="inlineStr">
        <is>
          <t>Varón</t>
        </is>
      </c>
      <c r="BY18" s="16" t="n">
        <v>94.2</v>
      </c>
      <c r="BZ18" s="16" t="n">
        <v>1.76</v>
      </c>
      <c r="CA18" s="16" t="n">
        <v>30.4</v>
      </c>
      <c r="CB18" s="16" t="n">
        <v>113</v>
      </c>
      <c r="CC18" s="16" t="n">
        <v>116</v>
      </c>
      <c r="CD18" s="16" t="n">
        <v>74</v>
      </c>
      <c r="CE18" s="16" t="inlineStr">
        <is>
          <t>Sí</t>
        </is>
      </c>
      <c r="CF18" s="16" t="inlineStr">
        <is>
          <t>Sí</t>
        </is>
      </c>
      <c r="CG18" s="16" t="inlineStr">
        <is>
          <t>No</t>
        </is>
      </c>
      <c r="CH18" s="16" t="inlineStr">
        <is>
          <t>No</t>
        </is>
      </c>
      <c r="CI18" s="16" t="inlineStr">
        <is>
          <t>No</t>
        </is>
      </c>
      <c r="CJ18" s="16" t="inlineStr">
        <is>
          <t>No</t>
        </is>
      </c>
      <c r="CK18" s="16" t="inlineStr">
        <is>
          <t>No</t>
        </is>
      </c>
      <c r="CL18" s="16" t="inlineStr">
        <is>
          <t>Sí</t>
        </is>
      </c>
      <c r="CM18" s="16" t="inlineStr">
        <is>
          <t>07:44</t>
        </is>
      </c>
      <c r="CN18" s="16" t="inlineStr">
        <is>
          <t>Mate</t>
        </is>
      </c>
      <c r="CO18" s="16" t="inlineStr">
        <is>
          <t>11:30</t>
        </is>
      </c>
      <c r="CP18" s="16" t="n">
        <v>136</v>
      </c>
      <c r="CQ18" s="16" t="n">
        <v>226</v>
      </c>
      <c r="CR18" s="16" t="inlineStr">
        <is>
          <t>Sí</t>
        </is>
      </c>
      <c r="CS18" s="16" t="n">
        <v>7</v>
      </c>
      <c r="CT18" s="16" t="inlineStr">
        <is>
          <t>Ligeramente elevado</t>
        </is>
      </c>
      <c r="CU18" s="16" t="inlineStr">
        <is>
          <t>4 %</t>
        </is>
      </c>
      <c r="CV18" s="16" t="inlineStr">
        <is>
          <t>Sí</t>
        </is>
      </c>
      <c r="CW18" s="16" t="n">
        <v>-6</v>
      </c>
      <c r="CX18" s="16" t="inlineStr">
        <is>
          <t>&lt;1</t>
        </is>
      </c>
      <c r="CY18" s="16" t="inlineStr">
        <is>
          <t>Bajo</t>
        </is>
      </c>
    </row>
    <row r="19">
      <c r="A19" s="16" t="inlineStr">
        <is>
          <t>demo-18</t>
        </is>
      </c>
      <c r="B19" s="16" t="inlineStr">
        <is>
          <t>B1-0018</t>
        </is>
      </c>
      <c r="C19" s="16" t="inlineStr">
        <is>
          <t>217-50-4600</t>
        </is>
      </c>
      <c r="D19" s="16" t="n">
        <v>217</v>
      </c>
      <c r="E19" s="16" t="n">
        <v>50</v>
      </c>
      <c r="F19" s="16" t="inlineStr">
        <is>
          <t>4600</t>
        </is>
      </c>
      <c r="G19" s="17" t="n">
        <v>46290</v>
      </c>
      <c r="H19" s="16" t="inlineStr">
        <is>
          <t>13:05</t>
        </is>
      </c>
      <c r="J19" s="16" t="inlineStr">
        <is>
          <t>B</t>
        </is>
      </c>
      <c r="K19" s="16" t="inlineStr">
        <is>
          <t>1</t>
        </is>
      </c>
      <c r="L19" s="16" t="inlineStr">
        <is>
          <t>Encuestador B</t>
        </is>
      </c>
      <c r="M19" s="16" t="inlineStr">
        <is>
          <t>Puesto 2</t>
        </is>
      </c>
      <c r="N19" s="16" t="inlineStr">
        <is>
          <t>Sí</t>
        </is>
      </c>
      <c r="O19" s="16" t="inlineStr">
        <is>
          <t>Sí</t>
        </is>
      </c>
      <c r="P19" s="16" t="n">
        <v>39</v>
      </c>
      <c r="Q19" s="16" t="inlineStr">
        <is>
          <t>Sí</t>
        </is>
      </c>
      <c r="R19" s="16" t="inlineStr">
        <is>
          <t>Sí</t>
        </is>
      </c>
      <c r="S19" s="16" t="inlineStr">
        <is>
          <t>Sí</t>
        </is>
      </c>
      <c r="T19" s="16" t="inlineStr">
        <is>
          <t>finalizado</t>
        </is>
      </c>
      <c r="U19" s="16" t="inlineStr">
        <is>
          <t>2026-10-v2</t>
        </is>
      </c>
      <c r="V19" s="16" t="inlineStr">
        <is>
          <t>2026-09-25T15:00:00.000Z</t>
        </is>
      </c>
      <c r="W19" s="16" t="inlineStr">
        <is>
          <t>Chile</t>
        </is>
      </c>
      <c r="Y19" s="16" t="inlineStr">
        <is>
          <t>Primaria completa</t>
        </is>
      </c>
      <c r="Z19" s="16" t="inlineStr">
        <is>
          <t>Sí</t>
        </is>
      </c>
      <c r="AA19" s="16" t="inlineStr">
        <is>
          <t>5</t>
        </is>
      </c>
      <c r="AB19" s="16" t="inlineStr">
        <is>
          <t>3</t>
        </is>
      </c>
      <c r="AC19" s="16" t="inlineStr">
        <is>
          <t>Guaraní; Inglés</t>
        </is>
      </c>
      <c r="AE19" s="16" t="inlineStr">
        <is>
          <t>Español</t>
        </is>
      </c>
      <c r="AG19" s="16" t="inlineStr">
        <is>
          <t>Argentina</t>
        </is>
      </c>
      <c r="AI19" s="16" t="inlineStr">
        <is>
          <t>Regular</t>
        </is>
      </c>
      <c r="AJ19" s="16" t="n">
        <v>2</v>
      </c>
      <c r="AK19" s="16" t="inlineStr">
        <is>
          <t>Viaje internacional</t>
        </is>
      </c>
      <c r="AL19" s="16" t="inlineStr">
        <is>
          <t>Quincenalmente</t>
        </is>
      </c>
      <c r="AN19" s="16" t="inlineStr">
        <is>
          <t>Una vez a la semana</t>
        </is>
      </c>
      <c r="AP19" s="16" t="inlineStr">
        <is>
          <t>Dueño del camión</t>
        </is>
      </c>
      <c r="AR19" s="16" t="inlineStr">
        <is>
          <t>Conforme</t>
        </is>
      </c>
      <c r="AS19" s="16" t="inlineStr">
        <is>
          <t>Sí</t>
        </is>
      </c>
      <c r="AT19" s="16" t="n">
        <v>3.8</v>
      </c>
      <c r="AU19" s="16" t="inlineStr">
        <is>
          <t>Sí</t>
        </is>
      </c>
      <c r="AV19" s="16" t="inlineStr">
        <is>
          <t>Paradores</t>
        </is>
      </c>
      <c r="AX19" s="16" t="n">
        <v>5.4</v>
      </c>
      <c r="AY19" s="16" t="inlineStr">
        <is>
          <t>Todos los días</t>
        </is>
      </c>
      <c r="AZ19" s="16" t="inlineStr">
        <is>
          <t>Gaseosas; Agua</t>
        </is>
      </c>
      <c r="BB19" s="16" t="inlineStr">
        <is>
          <t>Nunca</t>
        </is>
      </c>
      <c r="BC19" s="16" t="inlineStr">
        <is>
          <t>Rara vez</t>
        </is>
      </c>
      <c r="BD19" s="16" t="inlineStr">
        <is>
          <t>No</t>
        </is>
      </c>
      <c r="BE19" s="16" t="inlineStr">
        <is>
          <t>No</t>
        </is>
      </c>
      <c r="BF19" s="16" t="inlineStr">
        <is>
          <t>Obra social</t>
        </is>
      </c>
      <c r="BG19" s="16" t="inlineStr">
        <is>
          <t>Sistema público</t>
        </is>
      </c>
      <c r="BH19" s="16" t="inlineStr">
        <is>
          <t>Solo cuando me siento mal</t>
        </is>
      </c>
      <c r="BI19" s="16" t="inlineStr">
        <is>
          <t>Sistema privado</t>
        </is>
      </c>
      <c r="BJ19" s="16" t="inlineStr">
        <is>
          <t>No</t>
        </is>
      </c>
      <c r="BL19" s="16" t="inlineStr">
        <is>
          <t>Medicamentos; Hierbas</t>
        </is>
      </c>
      <c r="BM19" s="16" t="inlineStr">
        <is>
          <t>Ibuprofeno</t>
        </is>
      </c>
      <c r="BN19" s="16" t="inlineStr">
        <is>
          <t>No tengo diagnóstico de enfermedad</t>
        </is>
      </c>
      <c r="BP19" s="16" t="inlineStr">
        <is>
          <t>Rara vez</t>
        </is>
      </c>
      <c r="BQ19" s="16" t="inlineStr">
        <is>
          <t>Energizantes (Speed, Monster, Red Bull, etc.)</t>
        </is>
      </c>
      <c r="BS19" s="16" t="inlineStr">
        <is>
          <t>Sí</t>
        </is>
      </c>
      <c r="BT19" s="16" t="inlineStr">
        <is>
          <t>Sí</t>
        </is>
      </c>
      <c r="BU19" s="16" t="inlineStr">
        <is>
          <t>A veces</t>
        </is>
      </c>
      <c r="BV19" s="16" t="inlineStr">
        <is>
          <t>Sí</t>
        </is>
      </c>
      <c r="BW19" s="16" t="inlineStr">
        <is>
          <t>Sí</t>
        </is>
      </c>
      <c r="BX19" s="16" t="inlineStr">
        <is>
          <t>Varón</t>
        </is>
      </c>
      <c r="BY19" s="16" t="n">
        <v>79.7</v>
      </c>
      <c r="BZ19" s="16" t="n">
        <v>1.87</v>
      </c>
      <c r="CA19" s="16" t="n">
        <v>22.8</v>
      </c>
      <c r="CB19" s="16" t="n">
        <v>88</v>
      </c>
      <c r="CC19" s="16" t="n">
        <v>110</v>
      </c>
      <c r="CD19" s="16" t="n">
        <v>70</v>
      </c>
      <c r="CE19" s="16" t="inlineStr">
        <is>
          <t>Sí</t>
        </is>
      </c>
      <c r="CF19" s="16" t="inlineStr">
        <is>
          <t>No</t>
        </is>
      </c>
      <c r="CG19" s="16" t="inlineStr">
        <is>
          <t>No</t>
        </is>
      </c>
      <c r="CH19" s="16" t="inlineStr">
        <is>
          <t>No</t>
        </is>
      </c>
      <c r="CI19" s="16" t="inlineStr">
        <is>
          <t>No</t>
        </is>
      </c>
      <c r="CJ19" s="16" t="inlineStr">
        <is>
          <t>No</t>
        </is>
      </c>
      <c r="CK19" s="16" t="inlineStr">
        <is>
          <t>Sí</t>
        </is>
      </c>
      <c r="CL19" s="16" t="inlineStr">
        <is>
          <t>Sí</t>
        </is>
      </c>
      <c r="CM19" s="16" t="inlineStr">
        <is>
          <t>07:24</t>
        </is>
      </c>
      <c r="CN19" s="16" t="inlineStr">
        <is>
          <t>Mate</t>
        </is>
      </c>
      <c r="CO19" s="16" t="inlineStr">
        <is>
          <t>11:30</t>
        </is>
      </c>
      <c r="CP19" s="16" t="n">
        <v>99</v>
      </c>
      <c r="CQ19" s="16" t="n">
        <v>246</v>
      </c>
      <c r="CR19" s="16" t="inlineStr">
        <is>
          <t>No</t>
        </is>
      </c>
      <c r="CV19" s="16" t="inlineStr">
        <is>
          <t>Sí</t>
        </is>
      </c>
      <c r="CW19" s="16" t="n">
        <v>12</v>
      </c>
      <c r="CX19" s="16" t="inlineStr">
        <is>
          <t>10</t>
        </is>
      </c>
      <c r="CY19" s="16" t="inlineStr">
        <is>
          <t>Moderado</t>
        </is>
      </c>
    </row>
    <row r="20">
      <c r="A20" s="16" t="inlineStr">
        <is>
          <t>demo-19</t>
        </is>
      </c>
      <c r="B20" s="16" t="inlineStr">
        <is>
          <t>C1-0019</t>
        </is>
      </c>
      <c r="C20" s="16" t="inlineStr">
        <is>
          <t>418-42-4630</t>
        </is>
      </c>
      <c r="D20" s="16" t="n">
        <v>418</v>
      </c>
      <c r="E20" s="16" t="n">
        <v>42</v>
      </c>
      <c r="F20" s="16" t="inlineStr">
        <is>
          <t>4630</t>
        </is>
      </c>
      <c r="G20" s="17" t="n">
        <v>46290</v>
      </c>
      <c r="H20" s="16" t="inlineStr">
        <is>
          <t>17:06</t>
        </is>
      </c>
      <c r="J20" s="16" t="inlineStr">
        <is>
          <t>C</t>
        </is>
      </c>
      <c r="K20" s="16" t="inlineStr">
        <is>
          <t>1</t>
        </is>
      </c>
      <c r="L20" s="16" t="inlineStr">
        <is>
          <t>Encuestador C</t>
        </is>
      </c>
      <c r="M20" s="16" t="inlineStr">
        <is>
          <t>Puesto 1</t>
        </is>
      </c>
      <c r="N20" s="16" t="inlineStr">
        <is>
          <t>Sí</t>
        </is>
      </c>
      <c r="O20" s="16" t="inlineStr">
        <is>
          <t>Sí</t>
        </is>
      </c>
      <c r="P20" s="16" t="n">
        <v>39</v>
      </c>
      <c r="Q20" s="16" t="inlineStr">
        <is>
          <t>Sí</t>
        </is>
      </c>
      <c r="R20" s="16" t="inlineStr">
        <is>
          <t>Sí</t>
        </is>
      </c>
      <c r="S20" s="16" t="inlineStr">
        <is>
          <t>Sí</t>
        </is>
      </c>
      <c r="T20" s="16" t="inlineStr">
        <is>
          <t>finalizado</t>
        </is>
      </c>
      <c r="U20" s="16" t="inlineStr">
        <is>
          <t>2026-10-v2</t>
        </is>
      </c>
      <c r="V20" s="16" t="inlineStr">
        <is>
          <t>2026-09-25T15:00:00.000Z</t>
        </is>
      </c>
      <c r="W20" s="16" t="inlineStr">
        <is>
          <t>Argentina</t>
        </is>
      </c>
      <c r="Y20" s="16" t="inlineStr">
        <is>
          <t>Secundaria incompleta</t>
        </is>
      </c>
      <c r="Z20" s="16" t="inlineStr">
        <is>
          <t>Sí</t>
        </is>
      </c>
      <c r="AA20" s="16" t="inlineStr">
        <is>
          <t>3</t>
        </is>
      </c>
      <c r="AB20" s="16" t="inlineStr">
        <is>
          <t>Más de 5</t>
        </is>
      </c>
      <c r="AC20" s="16" t="inlineStr">
        <is>
          <t>Guaraní; Portugués</t>
        </is>
      </c>
      <c r="AE20" s="16" t="inlineStr">
        <is>
          <t>Español</t>
        </is>
      </c>
      <c r="AG20" s="16" t="inlineStr">
        <is>
          <t>Argentina</t>
        </is>
      </c>
      <c r="AI20" s="16" t="inlineStr">
        <is>
          <t>Bueno</t>
        </is>
      </c>
      <c r="AJ20" s="16" t="n">
        <v>8</v>
      </c>
      <c r="AK20" s="16" t="inlineStr">
        <is>
          <t>Viaje interprovincial</t>
        </is>
      </c>
      <c r="AL20" s="16" t="inlineStr">
        <is>
          <t>Una vez a la semana</t>
        </is>
      </c>
      <c r="AN20" s="16" t="inlineStr">
        <is>
          <t>Una vez a la semana</t>
        </is>
      </c>
      <c r="AP20" s="16" t="inlineStr">
        <is>
          <t>Empleado</t>
        </is>
      </c>
      <c r="AR20" s="16" t="inlineStr">
        <is>
          <t>Disconforme</t>
        </is>
      </c>
      <c r="AS20" s="16" t="inlineStr">
        <is>
          <t>Sí</t>
        </is>
      </c>
      <c r="AT20" s="16" t="n">
        <v>7.3</v>
      </c>
      <c r="AU20" s="16" t="inlineStr">
        <is>
          <t>Sí</t>
        </is>
      </c>
      <c r="AV20" s="16" t="inlineStr">
        <is>
          <t>Paradores</t>
        </is>
      </c>
      <c r="AX20" s="16" t="n">
        <v>5.7</v>
      </c>
      <c r="AY20" s="16" t="inlineStr">
        <is>
          <t>Todos los días</t>
        </is>
      </c>
      <c r="AZ20" s="16" t="inlineStr">
        <is>
          <t>Jugos artificiales; Gaseosas</t>
        </is>
      </c>
      <c r="BB20" s="16" t="inlineStr">
        <is>
          <t>Nunca</t>
        </is>
      </c>
      <c r="BC20" s="16" t="inlineStr">
        <is>
          <t>Rara vez</t>
        </is>
      </c>
      <c r="BD20" s="16" t="inlineStr">
        <is>
          <t>No</t>
        </is>
      </c>
      <c r="BE20" s="16" t="inlineStr">
        <is>
          <t>Sí</t>
        </is>
      </c>
      <c r="BF20" s="16" t="inlineStr">
        <is>
          <t>Obra social</t>
        </is>
      </c>
      <c r="BG20" s="16" t="inlineStr">
        <is>
          <t>Sistema público</t>
        </is>
      </c>
      <c r="BH20" s="16" t="inlineStr">
        <is>
          <t>Nunca</t>
        </is>
      </c>
      <c r="BI20" s="16" t="inlineStr">
        <is>
          <t>Sistema público; Otros (medicina tradicional, alternativa, etc.)</t>
        </is>
      </c>
      <c r="BJ20" s="16" t="inlineStr">
        <is>
          <t>No</t>
        </is>
      </c>
      <c r="BL20" s="16" t="inlineStr">
        <is>
          <t>Medicamentos</t>
        </is>
      </c>
      <c r="BM20" s="16" t="inlineStr">
        <is>
          <t>Ibuprofeno</t>
        </is>
      </c>
      <c r="BN20" s="16" t="inlineStr">
        <is>
          <t>Obesidad</t>
        </is>
      </c>
      <c r="BP20" s="16" t="inlineStr">
        <is>
          <t>Nunca</t>
        </is>
      </c>
      <c r="BQ20" s="16" t="inlineStr">
        <is>
          <t>Café</t>
        </is>
      </c>
      <c r="BS20" s="16" t="inlineStr">
        <is>
          <t>Sí</t>
        </is>
      </c>
      <c r="BT20" s="16" t="inlineStr">
        <is>
          <t>No</t>
        </is>
      </c>
      <c r="BU20" s="16" t="inlineStr">
        <is>
          <t>Siempre</t>
        </is>
      </c>
      <c r="BV20" s="16" t="inlineStr">
        <is>
          <t>No</t>
        </is>
      </c>
      <c r="BW20" s="16" t="inlineStr">
        <is>
          <t>No</t>
        </is>
      </c>
      <c r="BX20" s="16" t="inlineStr">
        <is>
          <t>Mujer</t>
        </is>
      </c>
      <c r="BY20" s="16" t="n">
        <v>86</v>
      </c>
      <c r="BZ20" s="16" t="n">
        <v>1.59</v>
      </c>
      <c r="CA20" s="16" t="n">
        <v>34</v>
      </c>
      <c r="CB20" s="16" t="n">
        <v>96</v>
      </c>
      <c r="CC20" s="16" t="n">
        <v>124</v>
      </c>
      <c r="CD20" s="16" t="n">
        <v>79</v>
      </c>
      <c r="CE20" s="16" t="inlineStr">
        <is>
          <t>Sí</t>
        </is>
      </c>
      <c r="CF20" s="16" t="inlineStr">
        <is>
          <t>Sí</t>
        </is>
      </c>
      <c r="CG20" s="16" t="inlineStr">
        <is>
          <t>No</t>
        </is>
      </c>
      <c r="CH20" s="16" t="inlineStr">
        <is>
          <t>No</t>
        </is>
      </c>
      <c r="CI20" s="16" t="inlineStr">
        <is>
          <t>Sí</t>
        </is>
      </c>
      <c r="CJ20" s="16" t="inlineStr">
        <is>
          <t>Sí, parientes lejanos</t>
        </is>
      </c>
      <c r="CK20" s="16" t="inlineStr">
        <is>
          <t>Sí</t>
        </is>
      </c>
      <c r="CL20" s="16" t="inlineStr">
        <is>
          <t>Sí</t>
        </is>
      </c>
      <c r="CM20" s="16" t="inlineStr">
        <is>
          <t>07:44</t>
        </is>
      </c>
      <c r="CN20" s="16" t="inlineStr">
        <is>
          <t>Mate</t>
        </is>
      </c>
      <c r="CO20" s="16" t="inlineStr">
        <is>
          <t>12:30</t>
        </is>
      </c>
      <c r="CP20" s="16" t="n">
        <v>186</v>
      </c>
      <c r="CQ20" s="16" t="n">
        <v>286</v>
      </c>
      <c r="CR20" s="16" t="inlineStr">
        <is>
          <t>Sí</t>
        </is>
      </c>
      <c r="CS20" s="16" t="n">
        <v>15</v>
      </c>
      <c r="CT20" s="16" t="inlineStr">
        <is>
          <t>Alto</t>
        </is>
      </c>
      <c r="CU20" s="16" t="inlineStr">
        <is>
          <t>33 %</t>
        </is>
      </c>
      <c r="CV20" s="16" t="inlineStr">
        <is>
          <t>Sí</t>
        </is>
      </c>
      <c r="CW20" s="16" t="n">
        <v>13</v>
      </c>
      <c r="CX20" s="16" t="inlineStr">
        <is>
          <t>2</t>
        </is>
      </c>
      <c r="CY20" s="16" t="inlineStr">
        <is>
          <t>Bajo</t>
        </is>
      </c>
    </row>
    <row r="21">
      <c r="A21" s="16" t="inlineStr">
        <is>
          <t>demo-20</t>
        </is>
      </c>
      <c r="B21" s="16" t="inlineStr">
        <is>
          <t>C1-0020</t>
        </is>
      </c>
      <c r="C21" s="16" t="inlineStr">
        <is>
          <t>419-62-4500</t>
        </is>
      </c>
      <c r="D21" s="16" t="n">
        <v>419</v>
      </c>
      <c r="E21" s="16" t="n">
        <v>62</v>
      </c>
      <c r="F21" s="16" t="inlineStr">
        <is>
          <t>4500</t>
        </is>
      </c>
      <c r="G21" s="17" t="n">
        <v>46296</v>
      </c>
      <c r="H21" s="16" t="inlineStr">
        <is>
          <t>16:08</t>
        </is>
      </c>
      <c r="J21" s="16" t="inlineStr">
        <is>
          <t>C</t>
        </is>
      </c>
      <c r="K21" s="16" t="inlineStr">
        <is>
          <t>1</t>
        </is>
      </c>
      <c r="L21" s="16" t="inlineStr">
        <is>
          <t>Encuestador C</t>
        </is>
      </c>
      <c r="M21" s="16" t="inlineStr">
        <is>
          <t>Puesto 2</t>
        </is>
      </c>
      <c r="N21" s="16" t="inlineStr">
        <is>
          <t>Sí</t>
        </is>
      </c>
      <c r="O21" s="16" t="inlineStr">
        <is>
          <t>Sí</t>
        </is>
      </c>
      <c r="P21" s="16" t="n">
        <v>38</v>
      </c>
      <c r="Q21" s="16" t="inlineStr">
        <is>
          <t>Sí</t>
        </is>
      </c>
      <c r="R21" s="16" t="inlineStr">
        <is>
          <t>Sí</t>
        </is>
      </c>
      <c r="S21" s="16" t="inlineStr">
        <is>
          <t>Sí</t>
        </is>
      </c>
      <c r="T21" s="16" t="inlineStr">
        <is>
          <t>finalizado</t>
        </is>
      </c>
      <c r="U21" s="16" t="inlineStr">
        <is>
          <t>2026-10-v2</t>
        </is>
      </c>
      <c r="V21" s="16" t="inlineStr">
        <is>
          <t>2026-10-01T15:00:00.000Z</t>
        </is>
      </c>
      <c r="W21" s="16" t="inlineStr">
        <is>
          <t>Argentina</t>
        </is>
      </c>
      <c r="Y21" s="16" t="inlineStr">
        <is>
          <t>Secundaria completa</t>
        </is>
      </c>
      <c r="Z21" s="16" t="inlineStr">
        <is>
          <t>No</t>
        </is>
      </c>
      <c r="AA21" s="16" t="inlineStr">
        <is>
          <t>5</t>
        </is>
      </c>
      <c r="AB21" s="16" t="inlineStr">
        <is>
          <t>5</t>
        </is>
      </c>
      <c r="AC21" s="16" t="inlineStr">
        <is>
          <t>Portugués</t>
        </is>
      </c>
      <c r="AE21" s="16" t="inlineStr">
        <is>
          <t>Español</t>
        </is>
      </c>
      <c r="AG21" s="16" t="inlineStr">
        <is>
          <t>Argentina</t>
        </is>
      </c>
      <c r="AI21" s="16" t="inlineStr">
        <is>
          <t>Muy malo</t>
        </is>
      </c>
      <c r="AJ21" s="16" t="n">
        <v>27</v>
      </c>
      <c r="AK21" s="16" t="inlineStr">
        <is>
          <t>Viaje provincial (Jujuy)</t>
        </is>
      </c>
      <c r="AL21" s="16" t="inlineStr">
        <is>
          <t>Una vez a la semana</t>
        </is>
      </c>
      <c r="AN21" s="16" t="inlineStr">
        <is>
          <t>3 veces por semana</t>
        </is>
      </c>
      <c r="AP21" s="16" t="inlineStr">
        <is>
          <t>Empleado</t>
        </is>
      </c>
      <c r="AR21" s="16" t="inlineStr">
        <is>
          <t>Conforme</t>
        </is>
      </c>
      <c r="AS21" s="16" t="inlineStr">
        <is>
          <t>Duda</t>
        </is>
      </c>
      <c r="AT21" s="16" t="n">
        <v>3.9</v>
      </c>
      <c r="AU21" s="16" t="inlineStr">
        <is>
          <t>Sí</t>
        </is>
      </c>
      <c r="AV21" s="16" t="inlineStr">
        <is>
          <t>Paradores</t>
        </is>
      </c>
      <c r="AX21" s="16" t="n">
        <v>6</v>
      </c>
      <c r="AY21" s="16" t="inlineStr">
        <is>
          <t>Todos los días</t>
        </is>
      </c>
      <c r="AZ21" s="16" t="inlineStr">
        <is>
          <t>Mate; Agua</t>
        </is>
      </c>
      <c r="BB21" s="16" t="inlineStr">
        <is>
          <t>A veces</t>
        </is>
      </c>
      <c r="BC21" s="16" t="inlineStr">
        <is>
          <t>Sí</t>
        </is>
      </c>
      <c r="BD21" s="16" t="inlineStr">
        <is>
          <t>Sí</t>
        </is>
      </c>
      <c r="BE21" s="16" t="inlineStr">
        <is>
          <t>Sí</t>
        </is>
      </c>
      <c r="BF21" s="16" t="inlineStr">
        <is>
          <t>Obra social; Prepaga</t>
        </is>
      </c>
      <c r="BG21" s="16" t="inlineStr">
        <is>
          <t>Ninguno</t>
        </is>
      </c>
      <c r="BH21" s="16" t="inlineStr">
        <is>
          <t>2 veces al año</t>
        </is>
      </c>
      <c r="BI21" s="16" t="inlineStr">
        <is>
          <t>Sistema público</t>
        </is>
      </c>
      <c r="BJ21" s="16" t="inlineStr">
        <is>
          <t>No</t>
        </is>
      </c>
      <c r="BL21" s="16" t="inlineStr">
        <is>
          <t>Ninguno</t>
        </is>
      </c>
      <c r="BN21" s="16" t="inlineStr">
        <is>
          <t>Musculoesqueléticos; Digestivas</t>
        </is>
      </c>
      <c r="BP21" s="16" t="inlineStr">
        <is>
          <t>Nunca</t>
        </is>
      </c>
      <c r="BQ21" s="16" t="inlineStr">
        <is>
          <t>Café; Coca-Cola</t>
        </is>
      </c>
      <c r="BS21" s="16" t="inlineStr">
        <is>
          <t>Sí</t>
        </is>
      </c>
      <c r="BT21" s="16" t="inlineStr">
        <is>
          <t>Sí</t>
        </is>
      </c>
      <c r="BU21" s="16" t="inlineStr">
        <is>
          <t>Nunca</t>
        </is>
      </c>
      <c r="BV21" s="16" t="inlineStr">
        <is>
          <t>No</t>
        </is>
      </c>
      <c r="BW21" s="16" t="inlineStr">
        <is>
          <t>No</t>
        </is>
      </c>
      <c r="BX21" s="16" t="inlineStr">
        <is>
          <t>Varón</t>
        </is>
      </c>
      <c r="BY21" s="16" t="n">
        <v>57.7</v>
      </c>
      <c r="BZ21" s="16" t="n">
        <v>1.65</v>
      </c>
      <c r="CA21" s="16" t="n">
        <v>21.2</v>
      </c>
      <c r="CB21" s="16" t="n">
        <v>105</v>
      </c>
      <c r="CC21" s="16" t="n">
        <v>121</v>
      </c>
      <c r="CD21" s="16" t="n">
        <v>77</v>
      </c>
      <c r="CE21" s="16" t="inlineStr">
        <is>
          <t>No</t>
        </is>
      </c>
      <c r="CF21" s="16" t="inlineStr">
        <is>
          <t>Sí</t>
        </is>
      </c>
      <c r="CG21" s="16" t="inlineStr">
        <is>
          <t>No</t>
        </is>
      </c>
      <c r="CH21" s="16" t="inlineStr">
        <is>
          <t>No</t>
        </is>
      </c>
      <c r="CI21" s="16" t="inlineStr">
        <is>
          <t>No</t>
        </is>
      </c>
      <c r="CJ21" s="16" t="inlineStr">
        <is>
          <t>No</t>
        </is>
      </c>
      <c r="CK21" s="16" t="inlineStr">
        <is>
          <t>No</t>
        </is>
      </c>
      <c r="CL21" s="16" t="inlineStr">
        <is>
          <t>Sí</t>
        </is>
      </c>
      <c r="CM21" s="16" t="inlineStr">
        <is>
          <t>07:44</t>
        </is>
      </c>
      <c r="CN21" s="16" t="inlineStr">
        <is>
          <t>Mate</t>
        </is>
      </c>
      <c r="CO21" s="16" t="inlineStr">
        <is>
          <t>11:30</t>
        </is>
      </c>
      <c r="CP21" s="16" t="n">
        <v>85</v>
      </c>
      <c r="CQ21" s="16" t="n">
        <v>226</v>
      </c>
      <c r="CR21" s="16" t="inlineStr">
        <is>
          <t>Sí</t>
        </is>
      </c>
      <c r="CS21" s="16" t="n">
        <v>9</v>
      </c>
      <c r="CT21" s="16" t="inlineStr">
        <is>
          <t>Ligeramente elevado</t>
        </is>
      </c>
      <c r="CU21" s="16" t="inlineStr">
        <is>
          <t>4 %</t>
        </is>
      </c>
      <c r="CV21" s="16" t="inlineStr">
        <is>
          <t>Sí</t>
        </is>
      </c>
      <c r="CW21" s="16" t="n">
        <v>10</v>
      </c>
      <c r="CX21" s="16" t="inlineStr">
        <is>
          <t>6</t>
        </is>
      </c>
      <c r="CY21" s="16" t="inlineStr">
        <is>
          <t>Bajo</t>
        </is>
      </c>
    </row>
    <row r="22">
      <c r="A22" s="16" t="inlineStr">
        <is>
          <t>demo-21</t>
        </is>
      </c>
      <c r="B22" s="16" t="inlineStr">
        <is>
          <t>A1-0021</t>
        </is>
      </c>
      <c r="C22" s="16" t="inlineStr">
        <is>
          <t>021-58-4630</t>
        </is>
      </c>
      <c r="D22" s="16" t="n">
        <v>21</v>
      </c>
      <c r="E22" s="16" t="n">
        <v>58</v>
      </c>
      <c r="F22" s="16" t="inlineStr">
        <is>
          <t>4630</t>
        </is>
      </c>
      <c r="G22" s="17" t="n">
        <v>46294</v>
      </c>
      <c r="H22" s="16" t="inlineStr">
        <is>
          <t>16:04</t>
        </is>
      </c>
      <c r="J22" s="16" t="inlineStr">
        <is>
          <t>A</t>
        </is>
      </c>
      <c r="K22" s="16" t="inlineStr">
        <is>
          <t>1</t>
        </is>
      </c>
      <c r="L22" s="16" t="inlineStr">
        <is>
          <t>Encuestador A</t>
        </is>
      </c>
      <c r="M22" s="16" t="inlineStr">
        <is>
          <t>Puesto 2</t>
        </is>
      </c>
      <c r="N22" s="16" t="inlineStr">
        <is>
          <t>Sí</t>
        </is>
      </c>
      <c r="O22" s="16" t="inlineStr">
        <is>
          <t>Sí</t>
        </is>
      </c>
      <c r="P22" s="16" t="n">
        <v>38</v>
      </c>
      <c r="Q22" s="16" t="inlineStr">
        <is>
          <t>Sí</t>
        </is>
      </c>
      <c r="R22" s="16" t="inlineStr">
        <is>
          <t>No</t>
        </is>
      </c>
      <c r="S22" s="16" t="inlineStr">
        <is>
          <t>No</t>
        </is>
      </c>
      <c r="T22" s="16" t="inlineStr">
        <is>
          <t>finalizado</t>
        </is>
      </c>
      <c r="U22" s="16" t="inlineStr">
        <is>
          <t>2026-10-v2</t>
        </is>
      </c>
      <c r="V22" s="16" t="inlineStr">
        <is>
          <t>2026-09-29T15:00:00.000Z</t>
        </is>
      </c>
      <c r="W22" s="16" t="inlineStr">
        <is>
          <t>Argentina</t>
        </is>
      </c>
      <c r="Y22" s="16" t="inlineStr">
        <is>
          <t>Secundaria completa</t>
        </is>
      </c>
      <c r="Z22" s="16" t="inlineStr">
        <is>
          <t>Sí</t>
        </is>
      </c>
      <c r="AA22" s="16" t="inlineStr">
        <is>
          <t>4</t>
        </is>
      </c>
      <c r="AB22" s="16" t="inlineStr">
        <is>
          <t>1</t>
        </is>
      </c>
      <c r="AC22" s="16" t="inlineStr">
        <is>
          <t>Portugués</t>
        </is>
      </c>
      <c r="AE22" s="16" t="inlineStr">
        <is>
          <t>Español</t>
        </is>
      </c>
      <c r="AG22" s="16" t="inlineStr">
        <is>
          <t>Argentina</t>
        </is>
      </c>
      <c r="AI22" s="16" t="inlineStr">
        <is>
          <t>Muy bueno</t>
        </is>
      </c>
      <c r="AJ22" s="16" t="n">
        <v>38</v>
      </c>
      <c r="AK22" s="16" t="inlineStr">
        <is>
          <t>Viaje interprovincial</t>
        </is>
      </c>
      <c r="AL22" s="16" t="inlineStr">
        <is>
          <t>2 veces por semana</t>
        </is>
      </c>
      <c r="AN22" s="16" t="inlineStr">
        <is>
          <t>Una vez a la semana</t>
        </is>
      </c>
      <c r="AP22" s="16" t="inlineStr">
        <is>
          <t>Empleado</t>
        </is>
      </c>
      <c r="AR22" s="16" t="inlineStr">
        <is>
          <t>Conforme</t>
        </is>
      </c>
      <c r="AS22" s="16" t="inlineStr">
        <is>
          <t>Duda</t>
        </is>
      </c>
      <c r="AT22" s="16" t="n">
        <v>5.3</v>
      </c>
      <c r="AU22" s="16" t="inlineStr">
        <is>
          <t>Sí</t>
        </is>
      </c>
      <c r="AV22" s="16" t="inlineStr">
        <is>
          <t>En el camión al costado de la ruta</t>
        </is>
      </c>
      <c r="AX22" s="16" t="n">
        <v>6.3</v>
      </c>
      <c r="AY22" s="16" t="inlineStr">
        <is>
          <t>Varias veces por semana</t>
        </is>
      </c>
      <c r="AZ22" s="16" t="inlineStr">
        <is>
          <t>Mate; Café</t>
        </is>
      </c>
      <c r="BB22" s="16" t="inlineStr">
        <is>
          <t>Casi nunca</t>
        </is>
      </c>
      <c r="BC22" s="16" t="inlineStr">
        <is>
          <t>No</t>
        </is>
      </c>
      <c r="BD22" s="16" t="inlineStr">
        <is>
          <t>No</t>
        </is>
      </c>
      <c r="BE22" s="16" t="inlineStr">
        <is>
          <t>Sí</t>
        </is>
      </c>
      <c r="BF22" s="16" t="inlineStr">
        <is>
          <t>Ninguna</t>
        </is>
      </c>
      <c r="BG22" s="16" t="inlineStr">
        <is>
          <t>Ninguno</t>
        </is>
      </c>
      <c r="BH22" s="16" t="inlineStr">
        <is>
          <t>2 veces al año</t>
        </is>
      </c>
      <c r="BI22" s="16" t="inlineStr">
        <is>
          <t>Sistema público</t>
        </is>
      </c>
      <c r="BJ22" s="16" t="inlineStr">
        <is>
          <t>Sí</t>
        </is>
      </c>
      <c r="BK22" s="16" t="inlineStr">
        <is>
          <t>Rodillas</t>
        </is>
      </c>
      <c r="BL22" s="16" t="inlineStr">
        <is>
          <t>Ninguno</t>
        </is>
      </c>
      <c r="BN22" s="16" t="inlineStr">
        <is>
          <t>Musculoesqueléticos; Digestivas</t>
        </is>
      </c>
      <c r="BP22" s="16" t="inlineStr">
        <is>
          <t>Rara vez</t>
        </is>
      </c>
      <c r="BQ22" s="16" t="inlineStr">
        <is>
          <t>No</t>
        </is>
      </c>
      <c r="BS22" s="16" t="inlineStr">
        <is>
          <t>No</t>
        </is>
      </c>
      <c r="BT22" s="16" t="inlineStr">
        <is>
          <t>Sí</t>
        </is>
      </c>
      <c r="BU22" s="16" t="inlineStr">
        <is>
          <t>A veces</t>
        </is>
      </c>
      <c r="BV22" s="16" t="inlineStr">
        <is>
          <t>No</t>
        </is>
      </c>
    </row>
    <row r="23">
      <c r="A23" s="16" t="inlineStr">
        <is>
          <t>demo-22</t>
        </is>
      </c>
      <c r="B23" s="16" t="inlineStr">
        <is>
          <t>C1-0022</t>
        </is>
      </c>
      <c r="C23" s="16" t="inlineStr">
        <is>
          <t>421-56-4600</t>
        </is>
      </c>
      <c r="D23" s="16" t="n">
        <v>421</v>
      </c>
      <c r="E23" s="16" t="n">
        <v>56</v>
      </c>
      <c r="F23" s="16" t="inlineStr">
        <is>
          <t>4600</t>
        </is>
      </c>
      <c r="G23" s="17" t="n">
        <v>46302</v>
      </c>
      <c r="H23" s="16" t="inlineStr">
        <is>
          <t>10:02</t>
        </is>
      </c>
      <c r="J23" s="16" t="inlineStr">
        <is>
          <t>C</t>
        </is>
      </c>
      <c r="K23" s="16" t="inlineStr">
        <is>
          <t>1</t>
        </is>
      </c>
      <c r="L23" s="16" t="inlineStr">
        <is>
          <t>Encuestador C</t>
        </is>
      </c>
      <c r="M23" s="16" t="inlineStr">
        <is>
          <t>Puesto 2</t>
        </is>
      </c>
      <c r="N23" s="16" t="inlineStr">
        <is>
          <t>Sí</t>
        </is>
      </c>
      <c r="O23" s="16" t="inlineStr">
        <is>
          <t>Sí</t>
        </is>
      </c>
      <c r="P23" s="16" t="n">
        <v>39</v>
      </c>
      <c r="Q23" s="16" t="inlineStr">
        <is>
          <t>Sí</t>
        </is>
      </c>
      <c r="R23" s="16" t="inlineStr">
        <is>
          <t>Sí</t>
        </is>
      </c>
      <c r="S23" s="16" t="inlineStr">
        <is>
          <t>Sí</t>
        </is>
      </c>
      <c r="T23" s="16" t="inlineStr">
        <is>
          <t>borrador</t>
        </is>
      </c>
      <c r="U23" s="16" t="inlineStr">
        <is>
          <t>2026-10-v2</t>
        </is>
      </c>
      <c r="V23" s="16" t="inlineStr">
        <is>
          <t>2026-10-07T15:00:00.000Z</t>
        </is>
      </c>
      <c r="W23" s="16" t="inlineStr">
        <is>
          <t>Chile</t>
        </is>
      </c>
      <c r="Y23" s="16" t="inlineStr">
        <is>
          <t>Terciario incompleto</t>
        </is>
      </c>
      <c r="Z23" s="16" t="inlineStr">
        <is>
          <t>Sí</t>
        </is>
      </c>
      <c r="AA23" s="16" t="inlineStr">
        <is>
          <t>Más de 5</t>
        </is>
      </c>
      <c r="AB23" s="16" t="inlineStr">
        <is>
          <t>Más de 5</t>
        </is>
      </c>
      <c r="AC23" s="16" t="inlineStr">
        <is>
          <t>Guaraní</t>
        </is>
      </c>
      <c r="AE23" s="16" t="inlineStr">
        <is>
          <t>Español</t>
        </is>
      </c>
      <c r="AG23" s="16" t="inlineStr">
        <is>
          <t>Argentina</t>
        </is>
      </c>
      <c r="AI23" s="16" t="inlineStr">
        <is>
          <t>Bueno</t>
        </is>
      </c>
      <c r="AJ23" s="16" t="n">
        <v>18</v>
      </c>
      <c r="AK23" s="16" t="inlineStr">
        <is>
          <t>Viaje internacional</t>
        </is>
      </c>
      <c r="AL23" s="16" t="inlineStr">
        <is>
          <t>Una vez al mes</t>
        </is>
      </c>
      <c r="AN23" s="16" t="inlineStr">
        <is>
          <t>Una vez a la semana</t>
        </is>
      </c>
      <c r="AP23" s="16" t="inlineStr">
        <is>
          <t>Empleado</t>
        </is>
      </c>
      <c r="AR23" s="16" t="inlineStr">
        <is>
          <t>Parcialmente conforme</t>
        </is>
      </c>
      <c r="AS23" s="16" t="inlineStr">
        <is>
          <t>No</t>
        </is>
      </c>
      <c r="AT23" s="16" t="n">
        <v>7</v>
      </c>
      <c r="AU23" s="16" t="inlineStr">
        <is>
          <t>Sí</t>
        </is>
      </c>
      <c r="AV23" s="16" t="inlineStr">
        <is>
          <t>En el camión al costado de la ruta</t>
        </is>
      </c>
      <c r="AX23" s="16" t="n">
        <v>5.2</v>
      </c>
      <c r="AY23" s="16" t="inlineStr">
        <is>
          <t>Varias veces por semana</t>
        </is>
      </c>
      <c r="AZ23" s="16" t="inlineStr">
        <is>
          <t>Mate; Agua</t>
        </is>
      </c>
      <c r="BB23" s="16" t="inlineStr">
        <is>
          <t>A veces</t>
        </is>
      </c>
      <c r="BC23" s="16" t="inlineStr">
        <is>
          <t>Sí</t>
        </is>
      </c>
      <c r="BD23" s="16" t="inlineStr">
        <is>
          <t>No</t>
        </is>
      </c>
      <c r="BE23" s="16" t="inlineStr">
        <is>
          <t>Sí</t>
        </is>
      </c>
      <c r="BF23" s="16" t="inlineStr">
        <is>
          <t>Ninguna</t>
        </is>
      </c>
      <c r="BG23" s="16" t="inlineStr">
        <is>
          <t>Ninguno</t>
        </is>
      </c>
      <c r="BH23" s="16" t="inlineStr">
        <is>
          <t>Solo cuando me siento mal</t>
        </is>
      </c>
      <c r="BI23" s="16" t="inlineStr">
        <is>
          <t>Sistema público; Otros (medicina tradicional, alternativa, etc.)</t>
        </is>
      </c>
      <c r="BJ23" s="16" t="inlineStr">
        <is>
          <t>Sí</t>
        </is>
      </c>
      <c r="BK23" s="16" t="inlineStr">
        <is>
          <t>Lumbar</t>
        </is>
      </c>
      <c r="BL23" s="16" t="inlineStr">
        <is>
          <t>Medicamentos</t>
        </is>
      </c>
      <c r="BM23" s="16" t="inlineStr">
        <is>
          <t>Ibuprofeno</t>
        </is>
      </c>
      <c r="BN23" s="16" t="inlineStr">
        <is>
          <t>No tengo diagnóstico de enfermedad</t>
        </is>
      </c>
      <c r="BP23" s="16" t="inlineStr">
        <is>
          <t>Rara vez</t>
        </is>
      </c>
      <c r="BQ23" s="16" t="inlineStr">
        <is>
          <t>Café</t>
        </is>
      </c>
      <c r="BS23" s="16" t="inlineStr">
        <is>
          <t>Sí</t>
        </is>
      </c>
      <c r="BT23" s="16" t="inlineStr">
        <is>
          <t>Sí</t>
        </is>
      </c>
      <c r="BU23" s="16" t="inlineStr">
        <is>
          <t>A veces</t>
        </is>
      </c>
      <c r="BV23" s="16" t="inlineStr">
        <is>
          <t>Sí</t>
        </is>
      </c>
      <c r="BW23" s="16" t="inlineStr">
        <is>
          <t>No</t>
        </is>
      </c>
      <c r="BX23" s="16" t="inlineStr">
        <is>
          <t>Varón</t>
        </is>
      </c>
      <c r="BY23" s="16" t="n">
        <v>75.5</v>
      </c>
      <c r="BZ23" s="16" t="n">
        <v>1.8</v>
      </c>
      <c r="CA23" s="16" t="n">
        <v>23.3</v>
      </c>
      <c r="CB23" s="16" t="n">
        <v>103</v>
      </c>
      <c r="CC23" s="16" t="n">
        <v>147</v>
      </c>
      <c r="CD23" s="16" t="n">
        <v>93</v>
      </c>
      <c r="CE23" s="16" t="inlineStr">
        <is>
          <t>No</t>
        </is>
      </c>
      <c r="CF23" s="16" t="inlineStr">
        <is>
          <t>No</t>
        </is>
      </c>
      <c r="CG23" s="16" t="inlineStr">
        <is>
          <t>No</t>
        </is>
      </c>
      <c r="CH23" s="16" t="inlineStr">
        <is>
          <t>No</t>
        </is>
      </c>
      <c r="CI23" s="16" t="inlineStr">
        <is>
          <t>No</t>
        </is>
      </c>
      <c r="CJ23" s="16" t="inlineStr">
        <is>
          <t>No</t>
        </is>
      </c>
      <c r="CK23" s="16" t="inlineStr">
        <is>
          <t>No</t>
        </is>
      </c>
      <c r="CL23" s="16" t="inlineStr">
        <is>
          <t>Sí</t>
        </is>
      </c>
      <c r="CM23" s="16" t="inlineStr">
        <is>
          <t>07:10</t>
        </is>
      </c>
      <c r="CN23" s="16" t="inlineStr">
        <is>
          <t>Mate</t>
        </is>
      </c>
      <c r="CO23" s="16" t="inlineStr">
        <is>
          <t>14:30</t>
        </is>
      </c>
      <c r="CP23" s="16" t="n">
        <v>174</v>
      </c>
      <c r="CQ23" s="16" t="n">
        <v>440</v>
      </c>
      <c r="CR23" s="16" t="inlineStr">
        <is>
          <t>Sí</t>
        </is>
      </c>
      <c r="CS23" s="16" t="n">
        <v>10</v>
      </c>
      <c r="CT23" s="16" t="inlineStr">
        <is>
          <t>Ligeramente elevado</t>
        </is>
      </c>
      <c r="CU23" s="16" t="inlineStr">
        <is>
          <t>4 %</t>
        </is>
      </c>
      <c r="CV23" s="16" t="inlineStr">
        <is>
          <t>Sí</t>
        </is>
      </c>
      <c r="CW23" s="16" t="n">
        <v>9</v>
      </c>
      <c r="CX23" s="16" t="inlineStr">
        <is>
          <t>5</t>
        </is>
      </c>
      <c r="CY23" s="16" t="inlineStr">
        <is>
          <t>Bajo</t>
        </is>
      </c>
    </row>
    <row r="24">
      <c r="A24" s="16" t="inlineStr">
        <is>
          <t>demo-23</t>
        </is>
      </c>
      <c r="B24" s="16" t="inlineStr">
        <is>
          <t>C1-0023</t>
        </is>
      </c>
      <c r="C24" s="16" t="inlineStr">
        <is>
          <t>422-25-4500</t>
        </is>
      </c>
      <c r="D24" s="16" t="n">
        <v>422</v>
      </c>
      <c r="E24" s="16" t="n">
        <v>25</v>
      </c>
      <c r="F24" s="16" t="inlineStr">
        <is>
          <t>4500</t>
        </is>
      </c>
      <c r="G24" s="17" t="n">
        <v>46296</v>
      </c>
      <c r="H24" s="16" t="inlineStr">
        <is>
          <t>15:08</t>
        </is>
      </c>
      <c r="J24" s="16" t="inlineStr">
        <is>
          <t>C</t>
        </is>
      </c>
      <c r="K24" s="16" t="inlineStr">
        <is>
          <t>1</t>
        </is>
      </c>
      <c r="L24" s="16" t="inlineStr">
        <is>
          <t>Encuestador C</t>
        </is>
      </c>
      <c r="M24" s="16" t="inlineStr">
        <is>
          <t>Puesto 1</t>
        </is>
      </c>
      <c r="N24" s="16" t="inlineStr">
        <is>
          <t>Sí</t>
        </is>
      </c>
      <c r="O24" s="16" t="inlineStr">
        <is>
          <t>Sí</t>
        </is>
      </c>
      <c r="P24" s="16" t="n">
        <v>39</v>
      </c>
      <c r="Q24" s="16" t="inlineStr">
        <is>
          <t>Sí</t>
        </is>
      </c>
      <c r="R24" s="16" t="inlineStr">
        <is>
          <t>Sí</t>
        </is>
      </c>
      <c r="S24" s="16" t="inlineStr">
        <is>
          <t>Sí</t>
        </is>
      </c>
      <c r="T24" s="16" t="inlineStr">
        <is>
          <t>finalizado</t>
        </is>
      </c>
      <c r="U24" s="16" t="inlineStr">
        <is>
          <t>2026-10-v2</t>
        </is>
      </c>
      <c r="V24" s="16" t="inlineStr">
        <is>
          <t>2026-10-01T15:00:00.000Z</t>
        </is>
      </c>
      <c r="W24" s="16" t="inlineStr">
        <is>
          <t>Paraguay</t>
        </is>
      </c>
      <c r="Y24" s="16" t="inlineStr">
        <is>
          <t>Universitario incompleto</t>
        </is>
      </c>
      <c r="Z24" s="16" t="inlineStr">
        <is>
          <t>No</t>
        </is>
      </c>
      <c r="AA24" s="16" t="inlineStr">
        <is>
          <t>5</t>
        </is>
      </c>
      <c r="AB24" s="16" t="inlineStr">
        <is>
          <t>4</t>
        </is>
      </c>
      <c r="AC24" s="16" t="inlineStr">
        <is>
          <t>Inglés; Guaraní</t>
        </is>
      </c>
      <c r="AE24" s="16" t="inlineStr">
        <is>
          <t>Español</t>
        </is>
      </c>
      <c r="AG24" s="16" t="inlineStr">
        <is>
          <t>Argentina</t>
        </is>
      </c>
      <c r="AI24" s="16" t="inlineStr">
        <is>
          <t>Muy malo</t>
        </is>
      </c>
      <c r="AJ24" s="16" t="n">
        <v>4</v>
      </c>
      <c r="AK24" s="16" t="inlineStr">
        <is>
          <t>Viaje interprovincial</t>
        </is>
      </c>
      <c r="AL24" s="16" t="inlineStr">
        <is>
          <t>Una vez a la semana</t>
        </is>
      </c>
      <c r="AN24" s="16" t="inlineStr">
        <is>
          <t>Diariamente</t>
        </is>
      </c>
      <c r="AP24" s="16" t="inlineStr">
        <is>
          <t>Empleado</t>
        </is>
      </c>
      <c r="AR24" s="16" t="inlineStr">
        <is>
          <t>Parcialmente conforme</t>
        </is>
      </c>
      <c r="AS24" s="16" t="inlineStr">
        <is>
          <t>No</t>
        </is>
      </c>
      <c r="AT24" s="16" t="n">
        <v>2.2</v>
      </c>
      <c r="AU24" s="16" t="inlineStr">
        <is>
          <t>Sí</t>
        </is>
      </c>
      <c r="AV24" s="16" t="inlineStr">
        <is>
          <t>En el camión al costado de la ruta</t>
        </is>
      </c>
      <c r="AX24" s="16" t="n">
        <v>7.9</v>
      </c>
      <c r="AY24" s="16" t="inlineStr">
        <is>
          <t>Todos los días</t>
        </is>
      </c>
      <c r="AZ24" s="16" t="inlineStr">
        <is>
          <t>Agua</t>
        </is>
      </c>
      <c r="BB24" s="16" t="inlineStr">
        <is>
          <t>A veces</t>
        </is>
      </c>
      <c r="BC24" s="16" t="inlineStr">
        <is>
          <t>No</t>
        </is>
      </c>
      <c r="BD24" s="16" t="inlineStr">
        <is>
          <t>No</t>
        </is>
      </c>
      <c r="BE24" s="16" t="inlineStr">
        <is>
          <t>No</t>
        </is>
      </c>
      <c r="BF24" s="16" t="inlineStr">
        <is>
          <t>Ninguna</t>
        </is>
      </c>
      <c r="BG24" s="16" t="inlineStr">
        <is>
          <t>Ninguno</t>
        </is>
      </c>
      <c r="BH24" s="16" t="inlineStr">
        <is>
          <t>2 veces al año</t>
        </is>
      </c>
      <c r="BI24" s="16" t="inlineStr">
        <is>
          <t>Sistema privado</t>
        </is>
      </c>
      <c r="BJ24" s="16" t="inlineStr">
        <is>
          <t>No</t>
        </is>
      </c>
      <c r="BL24" s="16" t="inlineStr">
        <is>
          <t>Medicamentos</t>
        </is>
      </c>
      <c r="BM24" s="16" t="inlineStr">
        <is>
          <t>Ibuprofeno</t>
        </is>
      </c>
      <c r="BN24" s="16" t="inlineStr">
        <is>
          <t>Musculoesqueléticos; Digestivas</t>
        </is>
      </c>
      <c r="BP24" s="16" t="inlineStr">
        <is>
          <t>Nunca</t>
        </is>
      </c>
      <c r="BQ24" s="16" t="inlineStr">
        <is>
          <t>Café</t>
        </is>
      </c>
      <c r="BS24" s="16" t="inlineStr">
        <is>
          <t>Sí</t>
        </is>
      </c>
      <c r="BT24" s="16" t="inlineStr">
        <is>
          <t>Sí</t>
        </is>
      </c>
      <c r="BU24" s="16" t="inlineStr">
        <is>
          <t>Siempre</t>
        </is>
      </c>
      <c r="BV24" s="16" t="inlineStr">
        <is>
          <t>Sí</t>
        </is>
      </c>
      <c r="BW24" s="16" t="inlineStr">
        <is>
          <t>No</t>
        </is>
      </c>
      <c r="BX24" s="16" t="inlineStr">
        <is>
          <t>Varón</t>
        </is>
      </c>
      <c r="BY24" s="16" t="n">
        <v>90.40000000000001</v>
      </c>
      <c r="BZ24" s="16" t="n">
        <v>1.67</v>
      </c>
      <c r="CA24" s="16" t="n">
        <v>32.4</v>
      </c>
      <c r="CB24" s="16" t="n">
        <v>97</v>
      </c>
      <c r="CC24" s="16" t="n">
        <v>141</v>
      </c>
      <c r="CD24" s="16" t="n">
        <v>89</v>
      </c>
      <c r="CE24" s="16" t="inlineStr">
        <is>
          <t>No</t>
        </is>
      </c>
      <c r="CF24" s="16" t="inlineStr">
        <is>
          <t>Sí</t>
        </is>
      </c>
      <c r="CG24" s="16" t="inlineStr">
        <is>
          <t>No</t>
        </is>
      </c>
      <c r="CH24" s="16" t="inlineStr">
        <is>
          <t>No</t>
        </is>
      </c>
      <c r="CI24" s="16" t="inlineStr">
        <is>
          <t>No</t>
        </is>
      </c>
      <c r="CJ24" s="16" t="inlineStr">
        <is>
          <t>Sí, parientes lejanos</t>
        </is>
      </c>
      <c r="CK24" s="16" t="inlineStr">
        <is>
          <t>No</t>
        </is>
      </c>
      <c r="CL24" s="16" t="inlineStr">
        <is>
          <t>Sí</t>
        </is>
      </c>
      <c r="CM24" s="16" t="inlineStr">
        <is>
          <t>07:44</t>
        </is>
      </c>
      <c r="CN24" s="16" t="inlineStr">
        <is>
          <t>Mate</t>
        </is>
      </c>
      <c r="CO24" s="16" t="inlineStr">
        <is>
          <t>11:30</t>
        </is>
      </c>
      <c r="CP24" s="16" t="n">
        <v>81</v>
      </c>
      <c r="CQ24" s="16" t="n">
        <v>226</v>
      </c>
      <c r="CR24" s="16" t="inlineStr">
        <is>
          <t>Sí</t>
        </is>
      </c>
      <c r="CS24" s="16" t="n">
        <v>11</v>
      </c>
      <c r="CT24" s="16" t="inlineStr">
        <is>
          <t>Ligeramente elevado</t>
        </is>
      </c>
      <c r="CU24" s="16" t="inlineStr">
        <is>
          <t>4 %</t>
        </is>
      </c>
      <c r="CV24" s="16" t="inlineStr">
        <is>
          <t>Sí</t>
        </is>
      </c>
      <c r="CW24" s="16" t="n">
        <v>-5</v>
      </c>
      <c r="CX24" s="16" t="inlineStr">
        <is>
          <t>&lt;1</t>
        </is>
      </c>
      <c r="CY24" s="16" t="inlineStr">
        <is>
          <t>Bajo</t>
        </is>
      </c>
    </row>
    <row r="25">
      <c r="A25" s="16" t="inlineStr">
        <is>
          <t>demo-24</t>
        </is>
      </c>
      <c r="B25" s="16" t="inlineStr">
        <is>
          <t>A1-0024</t>
        </is>
      </c>
      <c r="C25" s="16" t="inlineStr">
        <is>
          <t>024-49-4400</t>
        </is>
      </c>
      <c r="D25" s="16" t="n">
        <v>24</v>
      </c>
      <c r="E25" s="16" t="n">
        <v>49</v>
      </c>
      <c r="F25" s="16" t="inlineStr">
        <is>
          <t>4400</t>
        </is>
      </c>
      <c r="G25" s="17" t="n">
        <v>46289</v>
      </c>
      <c r="H25" s="16" t="inlineStr">
        <is>
          <t>16:03</t>
        </is>
      </c>
      <c r="J25" s="16" t="inlineStr">
        <is>
          <t>A</t>
        </is>
      </c>
      <c r="K25" s="16" t="inlineStr">
        <is>
          <t>1</t>
        </is>
      </c>
      <c r="L25" s="16" t="inlineStr">
        <is>
          <t>Encuestador A</t>
        </is>
      </c>
      <c r="M25" s="16" t="inlineStr">
        <is>
          <t>Puesto 2</t>
        </is>
      </c>
      <c r="N25" s="16" t="inlineStr">
        <is>
          <t>Sí</t>
        </is>
      </c>
      <c r="O25" s="16" t="inlineStr">
        <is>
          <t>Sí</t>
        </is>
      </c>
      <c r="P25" s="16" t="n">
        <v>38</v>
      </c>
      <c r="Q25" s="16" t="inlineStr">
        <is>
          <t>Sí</t>
        </is>
      </c>
      <c r="R25" s="16" t="inlineStr">
        <is>
          <t>Sí</t>
        </is>
      </c>
      <c r="S25" s="16" t="inlineStr">
        <is>
          <t>Sí</t>
        </is>
      </c>
      <c r="T25" s="16" t="inlineStr">
        <is>
          <t>finalizado</t>
        </is>
      </c>
      <c r="U25" s="16" t="inlineStr">
        <is>
          <t>2026-10-v2</t>
        </is>
      </c>
      <c r="V25" s="16" t="inlineStr">
        <is>
          <t>2026-09-24T15:00:00.000Z</t>
        </is>
      </c>
      <c r="W25" s="16" t="inlineStr">
        <is>
          <t>Brasil</t>
        </is>
      </c>
      <c r="Y25" s="16" t="inlineStr">
        <is>
          <t>Primaria completa</t>
        </is>
      </c>
      <c r="Z25" s="16" t="inlineStr">
        <is>
          <t>Sí</t>
        </is>
      </c>
      <c r="AA25" s="16" t="inlineStr">
        <is>
          <t>1</t>
        </is>
      </c>
      <c r="AB25" s="16" t="inlineStr">
        <is>
          <t>5</t>
        </is>
      </c>
      <c r="AC25" s="16" t="inlineStr">
        <is>
          <t>Guaraní; Español</t>
        </is>
      </c>
      <c r="AE25" s="16" t="inlineStr">
        <is>
          <t>Español</t>
        </is>
      </c>
      <c r="AG25" s="16" t="inlineStr">
        <is>
          <t>Argentina</t>
        </is>
      </c>
      <c r="AI25" s="16" t="inlineStr">
        <is>
          <t>Regular</t>
        </is>
      </c>
      <c r="AJ25" s="16" t="n">
        <v>25</v>
      </c>
      <c r="AK25" s="16" t="inlineStr">
        <is>
          <t>Viaje internacional</t>
        </is>
      </c>
      <c r="AL25" s="16" t="inlineStr">
        <is>
          <t>Una vez a la semana</t>
        </is>
      </c>
      <c r="AN25" s="16" t="inlineStr">
        <is>
          <t>Diariamente</t>
        </is>
      </c>
      <c r="AP25" s="16" t="inlineStr">
        <is>
          <t>Empleado</t>
        </is>
      </c>
      <c r="AR25" s="16" t="inlineStr">
        <is>
          <t>Conforme</t>
        </is>
      </c>
      <c r="AS25" s="16" t="inlineStr">
        <is>
          <t>Sí</t>
        </is>
      </c>
      <c r="AT25" s="16" t="n">
        <v>2.9</v>
      </c>
      <c r="AU25" s="16" t="inlineStr">
        <is>
          <t>Sí</t>
        </is>
      </c>
      <c r="AV25" s="16" t="inlineStr">
        <is>
          <t>En el camión al costado de la ruta</t>
        </is>
      </c>
      <c r="AX25" s="16" t="n">
        <v>4.8</v>
      </c>
      <c r="AY25" s="16" t="inlineStr">
        <is>
          <t>Nunca</t>
        </is>
      </c>
      <c r="AZ25" s="16" t="inlineStr">
        <is>
          <t>Café; Jugos artificiales; Mate</t>
        </is>
      </c>
      <c r="BB25" s="16" t="inlineStr">
        <is>
          <t>Sí, siempre</t>
        </is>
      </c>
      <c r="BC25" s="16" t="inlineStr">
        <is>
          <t>No</t>
        </is>
      </c>
      <c r="BD25" s="16" t="inlineStr">
        <is>
          <t>No</t>
        </is>
      </c>
      <c r="BE25" s="16" t="inlineStr">
        <is>
          <t>Sí</t>
        </is>
      </c>
      <c r="BF25" s="16" t="inlineStr">
        <is>
          <t>Ninguna</t>
        </is>
      </c>
      <c r="BG25" s="16" t="inlineStr">
        <is>
          <t>Ninguno</t>
        </is>
      </c>
      <c r="BH25" s="16" t="inlineStr">
        <is>
          <t>Una vez al año</t>
        </is>
      </c>
      <c r="BI25" s="16" t="inlineStr">
        <is>
          <t>Sistema público</t>
        </is>
      </c>
      <c r="BJ25" s="16" t="inlineStr">
        <is>
          <t>Sí</t>
        </is>
      </c>
      <c r="BK25" s="16" t="inlineStr">
        <is>
          <t>Rodillas</t>
        </is>
      </c>
      <c r="BL25" s="16" t="inlineStr">
        <is>
          <t>Ninguno</t>
        </is>
      </c>
      <c r="BN25" s="16" t="inlineStr">
        <is>
          <t>No tengo diagnóstico de enfermedad</t>
        </is>
      </c>
      <c r="BP25" s="16" t="inlineStr">
        <is>
          <t>2 a 3 veces por semana</t>
        </is>
      </c>
      <c r="BQ25" s="16" t="inlineStr">
        <is>
          <t>Café; Coca-Cola</t>
        </is>
      </c>
      <c r="BS25" s="16" t="inlineStr">
        <is>
          <t>Sí</t>
        </is>
      </c>
      <c r="BT25" s="16" t="inlineStr">
        <is>
          <t>Sí</t>
        </is>
      </c>
      <c r="BU25" s="16" t="inlineStr">
        <is>
          <t>A veces</t>
        </is>
      </c>
      <c r="BV25" s="16" t="inlineStr">
        <is>
          <t>No</t>
        </is>
      </c>
      <c r="BW25" s="16" t="inlineStr">
        <is>
          <t>No</t>
        </is>
      </c>
      <c r="BX25" s="16" t="inlineStr">
        <is>
          <t>Varón</t>
        </is>
      </c>
      <c r="BY25" s="16" t="n">
        <v>90.09999999999999</v>
      </c>
      <c r="BZ25" s="16" t="n">
        <v>1.84</v>
      </c>
      <c r="CA25" s="16" t="n">
        <v>26.6</v>
      </c>
      <c r="CB25" s="16" t="n">
        <v>116</v>
      </c>
      <c r="CC25" s="16" t="n">
        <v>161</v>
      </c>
      <c r="CD25" s="16" t="n">
        <v>102</v>
      </c>
      <c r="CE25" s="16" t="inlineStr">
        <is>
          <t>Sí</t>
        </is>
      </c>
      <c r="CF25" s="16" t="inlineStr">
        <is>
          <t>Sí</t>
        </is>
      </c>
      <c r="CG25" s="16" t="inlineStr">
        <is>
          <t>Sí</t>
        </is>
      </c>
      <c r="CH25" s="16" t="inlineStr">
        <is>
          <t>No</t>
        </is>
      </c>
      <c r="CI25" s="16" t="inlineStr">
        <is>
          <t>No</t>
        </is>
      </c>
      <c r="CJ25" s="16" t="inlineStr">
        <is>
          <t>No</t>
        </is>
      </c>
      <c r="CK25" s="16" t="inlineStr">
        <is>
          <t>Sí</t>
        </is>
      </c>
      <c r="CL25" s="16" t="inlineStr">
        <is>
          <t>Sí</t>
        </is>
      </c>
      <c r="CM25" s="16" t="inlineStr">
        <is>
          <t>07:10</t>
        </is>
      </c>
      <c r="CN25" s="16" t="inlineStr">
        <is>
          <t>Mate</t>
        </is>
      </c>
      <c r="CO25" s="16" t="inlineStr">
        <is>
          <t>12:30</t>
        </is>
      </c>
      <c r="CP25" s="16" t="n">
        <v>117</v>
      </c>
      <c r="CQ25" s="16" t="n">
        <v>320</v>
      </c>
      <c r="CR25" s="16" t="inlineStr">
        <is>
          <t>Sí</t>
        </is>
      </c>
      <c r="CS25" s="16" t="n">
        <v>7</v>
      </c>
      <c r="CT25" s="16" t="inlineStr">
        <is>
          <t>Ligeramente elevado</t>
        </is>
      </c>
      <c r="CU25" s="16" t="inlineStr">
        <is>
          <t>4 %</t>
        </is>
      </c>
      <c r="CV25" s="16" t="inlineStr">
        <is>
          <t>Sí</t>
        </is>
      </c>
      <c r="CW25" s="16" t="n">
        <v>11</v>
      </c>
      <c r="CX25" s="16" t="inlineStr">
        <is>
          <t>8</t>
        </is>
      </c>
      <c r="CY25" s="16" t="inlineStr">
        <is>
          <t>Bajo</t>
        </is>
      </c>
    </row>
    <row r="26">
      <c r="A26" s="16" t="inlineStr">
        <is>
          <t>demo-25</t>
        </is>
      </c>
      <c r="B26" s="16" t="inlineStr">
        <is>
          <t>A1-0025</t>
        </is>
      </c>
      <c r="C26" s="16" t="inlineStr">
        <is>
          <t>025-44-4630</t>
        </is>
      </c>
      <c r="D26" s="16" t="n">
        <v>25</v>
      </c>
      <c r="E26" s="16" t="n">
        <v>44</v>
      </c>
      <c r="F26" s="16" t="inlineStr">
        <is>
          <t>4630</t>
        </is>
      </c>
      <c r="G26" s="17" t="n">
        <v>46289</v>
      </c>
      <c r="H26" s="16" t="inlineStr">
        <is>
          <t>12:00</t>
        </is>
      </c>
      <c r="J26" s="16" t="inlineStr">
        <is>
          <t>A</t>
        </is>
      </c>
      <c r="K26" s="16" t="inlineStr">
        <is>
          <t>1</t>
        </is>
      </c>
      <c r="L26" s="16" t="inlineStr">
        <is>
          <t>Encuestador A</t>
        </is>
      </c>
      <c r="M26" s="16" t="inlineStr">
        <is>
          <t>Puesto 2</t>
        </is>
      </c>
      <c r="N26" s="16" t="inlineStr">
        <is>
          <t>Sí</t>
        </is>
      </c>
      <c r="O26" s="16" t="inlineStr">
        <is>
          <t>No</t>
        </is>
      </c>
      <c r="P26" s="16" t="n">
        <v>39</v>
      </c>
      <c r="Q26" s="16" t="inlineStr">
        <is>
          <t>Sí</t>
        </is>
      </c>
      <c r="R26" s="16" t="inlineStr">
        <is>
          <t>Sí</t>
        </is>
      </c>
      <c r="S26" s="16" t="inlineStr">
        <is>
          <t>Sí</t>
        </is>
      </c>
      <c r="T26" s="16" t="inlineStr">
        <is>
          <t>finalizado</t>
        </is>
      </c>
      <c r="U26" s="16" t="inlineStr">
        <is>
          <t>2026-10-v2</t>
        </is>
      </c>
      <c r="V26" s="16" t="inlineStr">
        <is>
          <t>2026-09-24T15:00:00.000Z</t>
        </is>
      </c>
      <c r="W26" s="16" t="inlineStr">
        <is>
          <t>Argentina</t>
        </is>
      </c>
      <c r="Y26" s="16" t="inlineStr">
        <is>
          <t>Terciario incompleto</t>
        </is>
      </c>
      <c r="Z26" s="16" t="inlineStr">
        <is>
          <t>Sí</t>
        </is>
      </c>
      <c r="AA26" s="16" t="inlineStr">
        <is>
          <t>5</t>
        </is>
      </c>
      <c r="AB26" s="16" t="inlineStr">
        <is>
          <t>5</t>
        </is>
      </c>
      <c r="AC26" s="16" t="inlineStr">
        <is>
          <t>Español</t>
        </is>
      </c>
      <c r="AE26" s="16" t="inlineStr">
        <is>
          <t>Español</t>
        </is>
      </c>
      <c r="AG26" s="16" t="inlineStr">
        <is>
          <t>Argentina</t>
        </is>
      </c>
      <c r="AI26" s="16" t="inlineStr">
        <is>
          <t>Regular</t>
        </is>
      </c>
      <c r="AJ26" s="16" t="n">
        <v>6</v>
      </c>
      <c r="AK26" s="16" t="inlineStr">
        <is>
          <t>Viaje provincial (Jujuy)</t>
        </is>
      </c>
      <c r="AL26" s="16" t="inlineStr">
        <is>
          <t>Quincenalmente</t>
        </is>
      </c>
      <c r="AN26" s="16" t="inlineStr">
        <is>
          <t>Diariamente</t>
        </is>
      </c>
      <c r="AP26" s="16" t="inlineStr">
        <is>
          <t>Empleado</t>
        </is>
      </c>
      <c r="AR26" s="16" t="inlineStr">
        <is>
          <t>Conforme</t>
        </is>
      </c>
      <c r="AS26" s="16" t="inlineStr">
        <is>
          <t>Duda</t>
        </is>
      </c>
      <c r="AT26" s="16" t="n">
        <v>2.7</v>
      </c>
      <c r="AU26" s="16" t="inlineStr">
        <is>
          <t>Sí</t>
        </is>
      </c>
      <c r="AV26" s="16" t="inlineStr">
        <is>
          <t>Estaciones de servicio</t>
        </is>
      </c>
      <c r="AX26" s="16" t="n">
        <v>4.6</v>
      </c>
      <c r="AY26" s="16" t="inlineStr">
        <is>
          <t>Nunca</t>
        </is>
      </c>
      <c r="AZ26" s="16" t="inlineStr">
        <is>
          <t>Gaseosas; Agua</t>
        </is>
      </c>
      <c r="BB26" s="16" t="inlineStr">
        <is>
          <t>Sí, siempre</t>
        </is>
      </c>
      <c r="BC26" s="16" t="inlineStr">
        <is>
          <t>No</t>
        </is>
      </c>
      <c r="BD26" s="16" t="inlineStr">
        <is>
          <t>No</t>
        </is>
      </c>
      <c r="BE26" s="16" t="inlineStr">
        <is>
          <t>Sí</t>
        </is>
      </c>
      <c r="BF26" s="16" t="inlineStr">
        <is>
          <t>Obra social</t>
        </is>
      </c>
      <c r="BG26" s="16" t="inlineStr">
        <is>
          <t>Ninguno</t>
        </is>
      </c>
      <c r="BH26" s="16" t="inlineStr">
        <is>
          <t>Solo cuando me siento mal</t>
        </is>
      </c>
      <c r="BI26" s="16" t="inlineStr">
        <is>
          <t>Sistema privado</t>
        </is>
      </c>
      <c r="BJ26" s="16" t="inlineStr">
        <is>
          <t>Sí</t>
        </is>
      </c>
      <c r="BK26" s="16" t="inlineStr">
        <is>
          <t>Cervical</t>
        </is>
      </c>
      <c r="BL26" s="16" t="inlineStr">
        <is>
          <t>Medicamentos</t>
        </is>
      </c>
      <c r="BM26" s="16" t="inlineStr">
        <is>
          <t>Ibuprofeno</t>
        </is>
      </c>
      <c r="BN26" s="16" t="inlineStr">
        <is>
          <t>Musculoesqueléticos</t>
        </is>
      </c>
      <c r="BP26" s="16" t="inlineStr">
        <is>
          <t>Una vez a la semana</t>
        </is>
      </c>
      <c r="BQ26" s="16" t="inlineStr">
        <is>
          <t>Café</t>
        </is>
      </c>
      <c r="BS26" s="16" t="inlineStr">
        <is>
          <t>No</t>
        </is>
      </c>
      <c r="BT26" s="16" t="inlineStr">
        <is>
          <t>No</t>
        </is>
      </c>
      <c r="BU26" s="16" t="inlineStr">
        <is>
          <t>Nunca</t>
        </is>
      </c>
      <c r="BV26" s="16" t="inlineStr">
        <is>
          <t>Sí</t>
        </is>
      </c>
      <c r="BW26" s="16" t="inlineStr">
        <is>
          <t>No</t>
        </is>
      </c>
      <c r="BX26" s="16" t="inlineStr">
        <is>
          <t>Mujer</t>
        </is>
      </c>
      <c r="BY26" s="16" t="n">
        <v>63.4</v>
      </c>
      <c r="BZ26" s="16" t="n">
        <v>1.65</v>
      </c>
      <c r="CA26" s="16" t="n">
        <v>23.3</v>
      </c>
      <c r="CB26" s="16" t="n">
        <v>99</v>
      </c>
      <c r="CC26" s="16" t="n">
        <v>116</v>
      </c>
      <c r="CD26" s="16" t="n">
        <v>74</v>
      </c>
      <c r="CE26" s="16" t="inlineStr">
        <is>
          <t>No</t>
        </is>
      </c>
      <c r="CF26" s="16" t="inlineStr">
        <is>
          <t>No</t>
        </is>
      </c>
      <c r="CG26" s="16" t="inlineStr">
        <is>
          <t>No</t>
        </is>
      </c>
      <c r="CH26" s="16" t="inlineStr">
        <is>
          <t>No</t>
        </is>
      </c>
      <c r="CI26" s="16" t="inlineStr">
        <is>
          <t>No</t>
        </is>
      </c>
      <c r="CJ26" s="16" t="inlineStr">
        <is>
          <t>Sí, primer grado</t>
        </is>
      </c>
      <c r="CK26" s="16" t="inlineStr">
        <is>
          <t>Sí</t>
        </is>
      </c>
      <c r="CL26" s="16" t="inlineStr">
        <is>
          <t>Sí</t>
        </is>
      </c>
      <c r="CM26" s="16" t="inlineStr">
        <is>
          <t>07:29</t>
        </is>
      </c>
      <c r="CN26" s="16" t="inlineStr">
        <is>
          <t>Mate</t>
        </is>
      </c>
      <c r="CO26" s="16" t="inlineStr">
        <is>
          <t>14:30</t>
        </is>
      </c>
      <c r="CP26" s="16" t="n">
        <v>138</v>
      </c>
      <c r="CQ26" s="16" t="n">
        <v>421</v>
      </c>
      <c r="CR26" s="16" t="inlineStr">
        <is>
          <t>Sí</t>
        </is>
      </c>
      <c r="CS26" s="16" t="n">
        <v>12</v>
      </c>
      <c r="CT26" s="16" t="inlineStr">
        <is>
          <t>Moderado</t>
        </is>
      </c>
      <c r="CU26" s="16" t="inlineStr">
        <is>
          <t>17 %</t>
        </is>
      </c>
      <c r="CV26" s="16" t="inlineStr">
        <is>
          <t>Sí</t>
        </is>
      </c>
      <c r="CW26" s="16" t="n">
        <v>8</v>
      </c>
      <c r="CX26" s="16" t="inlineStr">
        <is>
          <t>&lt;1</t>
        </is>
      </c>
      <c r="CY26" s="16" t="inlineStr">
        <is>
          <t>Bajo</t>
        </is>
      </c>
    </row>
    <row r="27">
      <c r="A27" s="16" t="inlineStr">
        <is>
          <t>demo-26</t>
        </is>
      </c>
      <c r="B27" s="16" t="inlineStr">
        <is>
          <t>B1-0026</t>
        </is>
      </c>
      <c r="C27" s="16" t="inlineStr">
        <is>
          <t>225-66-4400</t>
        </is>
      </c>
      <c r="D27" s="16" t="n">
        <v>225</v>
      </c>
      <c r="E27" s="16" t="n">
        <v>66</v>
      </c>
      <c r="F27" s="16" t="inlineStr">
        <is>
          <t>4400</t>
        </is>
      </c>
      <c r="G27" s="17" t="n">
        <v>46294</v>
      </c>
      <c r="H27" s="16" t="inlineStr">
        <is>
          <t>12:06</t>
        </is>
      </c>
      <c r="J27" s="16" t="inlineStr">
        <is>
          <t>B</t>
        </is>
      </c>
      <c r="K27" s="16" t="inlineStr">
        <is>
          <t>1</t>
        </is>
      </c>
      <c r="L27" s="16" t="inlineStr">
        <is>
          <t>Encuestador B</t>
        </is>
      </c>
      <c r="M27" s="16" t="inlineStr">
        <is>
          <t>Puesto 2</t>
        </is>
      </c>
      <c r="N27" s="16" t="inlineStr">
        <is>
          <t>Sí</t>
        </is>
      </c>
      <c r="O27" s="16" t="inlineStr">
        <is>
          <t>No</t>
        </is>
      </c>
      <c r="P27" s="16" t="n">
        <v>38</v>
      </c>
      <c r="Q27" s="16" t="inlineStr">
        <is>
          <t>Sí</t>
        </is>
      </c>
      <c r="R27" s="16" t="inlineStr">
        <is>
          <t>Sí</t>
        </is>
      </c>
      <c r="S27" s="16" t="inlineStr">
        <is>
          <t>No</t>
        </is>
      </c>
      <c r="T27" s="16" t="inlineStr">
        <is>
          <t>finalizado</t>
        </is>
      </c>
      <c r="U27" s="16" t="inlineStr">
        <is>
          <t>2026-10-v2</t>
        </is>
      </c>
      <c r="V27" s="16" t="inlineStr">
        <is>
          <t>2026-09-29T15:00:00.000Z</t>
        </is>
      </c>
      <c r="W27" s="16" t="inlineStr">
        <is>
          <t>Argentina</t>
        </is>
      </c>
      <c r="Y27" s="16" t="inlineStr">
        <is>
          <t>Secundaria completa</t>
        </is>
      </c>
      <c r="Z27" s="16" t="inlineStr">
        <is>
          <t>No</t>
        </is>
      </c>
      <c r="AA27" s="16" t="inlineStr">
        <is>
          <t>5</t>
        </is>
      </c>
      <c r="AB27" s="16" t="inlineStr">
        <is>
          <t>3</t>
        </is>
      </c>
      <c r="AC27" s="16" t="inlineStr">
        <is>
          <t>Portugués</t>
        </is>
      </c>
      <c r="AE27" s="16" t="inlineStr">
        <is>
          <t>Español</t>
        </is>
      </c>
      <c r="AG27" s="16" t="inlineStr">
        <is>
          <t>Argentina</t>
        </is>
      </c>
      <c r="AI27" s="16" t="inlineStr">
        <is>
          <t>Regular</t>
        </is>
      </c>
      <c r="AJ27" s="16" t="n">
        <v>14</v>
      </c>
      <c r="AK27" s="16" t="inlineStr">
        <is>
          <t>Viaje internacional</t>
        </is>
      </c>
      <c r="AL27" s="16" t="inlineStr">
        <is>
          <t>2 veces por semana</t>
        </is>
      </c>
      <c r="AN27" s="16" t="inlineStr">
        <is>
          <t>3 veces por semana</t>
        </is>
      </c>
      <c r="AP27" s="16" t="inlineStr">
        <is>
          <t>Empleado</t>
        </is>
      </c>
      <c r="AR27" s="16" t="inlineStr">
        <is>
          <t>Parcialmente conforme</t>
        </is>
      </c>
      <c r="AS27" s="16" t="inlineStr">
        <is>
          <t>No</t>
        </is>
      </c>
      <c r="AT27" s="16" t="n">
        <v>2.5</v>
      </c>
      <c r="AU27" s="16" t="inlineStr">
        <is>
          <t>Sí</t>
        </is>
      </c>
      <c r="AV27" s="16" t="inlineStr">
        <is>
          <t>Estaciones de servicio</t>
        </is>
      </c>
      <c r="AX27" s="16" t="n">
        <v>7.2</v>
      </c>
      <c r="AY27" s="16" t="inlineStr">
        <is>
          <t>Todos los días</t>
        </is>
      </c>
      <c r="AZ27" s="16" t="inlineStr">
        <is>
          <t>Agua</t>
        </is>
      </c>
      <c r="BB27" s="16" t="inlineStr">
        <is>
          <t>Casi nunca</t>
        </is>
      </c>
      <c r="BC27" s="16" t="inlineStr">
        <is>
          <t>No</t>
        </is>
      </c>
      <c r="BD27" s="16" t="inlineStr">
        <is>
          <t>No</t>
        </is>
      </c>
      <c r="BE27" s="16" t="inlineStr">
        <is>
          <t>No</t>
        </is>
      </c>
      <c r="BF27" s="16" t="inlineStr">
        <is>
          <t>Obra social</t>
        </is>
      </c>
      <c r="BG27" s="16" t="inlineStr">
        <is>
          <t>Sistema privado</t>
        </is>
      </c>
      <c r="BH27" s="16" t="inlineStr">
        <is>
          <t>2 veces al año</t>
        </is>
      </c>
      <c r="BI27" s="16" t="inlineStr">
        <is>
          <t>Sistema público; Otros (medicina tradicional, alternativa, etc.)</t>
        </is>
      </c>
      <c r="BJ27" s="16" t="inlineStr">
        <is>
          <t>Sí</t>
        </is>
      </c>
      <c r="BK27" s="16" t="inlineStr">
        <is>
          <t>Rodillas</t>
        </is>
      </c>
      <c r="BL27" s="16" t="inlineStr">
        <is>
          <t>Ninguno</t>
        </is>
      </c>
      <c r="BN27" s="16" t="inlineStr">
        <is>
          <t>Musculoesqueléticos; Digestivas</t>
        </is>
      </c>
      <c r="BP27" s="16" t="inlineStr">
        <is>
          <t>Una vez a la semana</t>
        </is>
      </c>
      <c r="BQ27" s="16" t="inlineStr">
        <is>
          <t>Energizantes (Speed, Monster, Red Bull, etc.)</t>
        </is>
      </c>
      <c r="BS27" s="16" t="inlineStr">
        <is>
          <t>Sí</t>
        </is>
      </c>
      <c r="BT27" s="16" t="inlineStr">
        <is>
          <t>No</t>
        </is>
      </c>
      <c r="BU27" s="16" t="inlineStr">
        <is>
          <t>Siempre</t>
        </is>
      </c>
      <c r="BV27" s="16" t="inlineStr">
        <is>
          <t>Sí</t>
        </is>
      </c>
      <c r="BW27" s="16" t="inlineStr">
        <is>
          <t>No</t>
        </is>
      </c>
      <c r="BX27" s="16" t="inlineStr">
        <is>
          <t>Varón</t>
        </is>
      </c>
      <c r="BY27" s="16" t="n">
        <v>69.59999999999999</v>
      </c>
      <c r="BZ27" s="16" t="n">
        <v>1.82</v>
      </c>
      <c r="CA27" s="16" t="n">
        <v>21</v>
      </c>
      <c r="CB27" s="16" t="n">
        <v>110</v>
      </c>
      <c r="CC27" s="16" t="n">
        <v>113</v>
      </c>
      <c r="CD27" s="16" t="n">
        <v>72</v>
      </c>
      <c r="CE27" s="16" t="inlineStr">
        <is>
          <t>Sí</t>
        </is>
      </c>
      <c r="CF27" s="16" t="inlineStr">
        <is>
          <t>No</t>
        </is>
      </c>
      <c r="CG27" s="16" t="inlineStr">
        <is>
          <t>Sí</t>
        </is>
      </c>
      <c r="CH27" s="16" t="inlineStr">
        <is>
          <t>No</t>
        </is>
      </c>
      <c r="CI27" s="16" t="inlineStr">
        <is>
          <t>No</t>
        </is>
      </c>
      <c r="CJ27" s="16" t="inlineStr">
        <is>
          <t>Sí, parientes lejanos</t>
        </is>
      </c>
      <c r="CK27" s="16" t="inlineStr">
        <is>
          <t>No</t>
        </is>
      </c>
      <c r="CL27" s="16" t="inlineStr">
        <is>
          <t>No</t>
        </is>
      </c>
      <c r="CR27" s="16" t="inlineStr">
        <is>
          <t>Sí</t>
        </is>
      </c>
      <c r="CS27" s="16" t="n">
        <v>12</v>
      </c>
      <c r="CT27" s="16" t="inlineStr">
        <is>
          <t>Moderado</t>
        </is>
      </c>
      <c r="CU27" s="16" t="inlineStr">
        <is>
          <t>17 %</t>
        </is>
      </c>
      <c r="CV27" s="16" t="inlineStr">
        <is>
          <t>Sí</t>
        </is>
      </c>
      <c r="CW27" s="16" t="n">
        <v>11</v>
      </c>
      <c r="CX27" s="16" t="inlineStr">
        <is>
          <t>8</t>
        </is>
      </c>
      <c r="CY27" s="16" t="inlineStr">
        <is>
          <t>Bajo</t>
        </is>
      </c>
    </row>
    <row r="28">
      <c r="A28" s="16" t="inlineStr">
        <is>
          <t>demo-27</t>
        </is>
      </c>
      <c r="B28" s="16" t="inlineStr">
        <is>
          <t>B1-0027</t>
        </is>
      </c>
      <c r="C28" s="16" t="inlineStr">
        <is>
          <t>226-39-4612</t>
        </is>
      </c>
      <c r="D28" s="16" t="n">
        <v>226</v>
      </c>
      <c r="E28" s="16" t="n">
        <v>39</v>
      </c>
      <c r="F28" s="16" t="inlineStr">
        <is>
          <t>4612</t>
        </is>
      </c>
      <c r="G28" s="17" t="n">
        <v>46295</v>
      </c>
      <c r="H28" s="16" t="inlineStr">
        <is>
          <t>16:05</t>
        </is>
      </c>
      <c r="J28" s="16" t="inlineStr">
        <is>
          <t>B</t>
        </is>
      </c>
      <c r="K28" s="16" t="inlineStr">
        <is>
          <t>1</t>
        </is>
      </c>
      <c r="L28" s="16" t="inlineStr">
        <is>
          <t>Encuestador B</t>
        </is>
      </c>
      <c r="M28" s="16" t="inlineStr">
        <is>
          <t>Puesto 2</t>
        </is>
      </c>
      <c r="N28" s="16" t="inlineStr">
        <is>
          <t>Sí</t>
        </is>
      </c>
      <c r="O28" s="16" t="inlineStr">
        <is>
          <t>No</t>
        </is>
      </c>
      <c r="P28" s="16" t="n">
        <v>39</v>
      </c>
      <c r="Q28" s="16" t="inlineStr">
        <is>
          <t>Sí</t>
        </is>
      </c>
      <c r="R28" s="16" t="inlineStr">
        <is>
          <t>Sí</t>
        </is>
      </c>
      <c r="S28" s="16" t="inlineStr">
        <is>
          <t>Sí</t>
        </is>
      </c>
      <c r="T28" s="16" t="inlineStr">
        <is>
          <t>finalizado</t>
        </is>
      </c>
      <c r="U28" s="16" t="inlineStr">
        <is>
          <t>2026-10-v2</t>
        </is>
      </c>
      <c r="V28" s="16" t="inlineStr">
        <is>
          <t>2026-09-30T15:00:00.000Z</t>
        </is>
      </c>
      <c r="W28" s="16" t="inlineStr">
        <is>
          <t>Argentina</t>
        </is>
      </c>
      <c r="Y28" s="16" t="inlineStr">
        <is>
          <t>Primaria completa</t>
        </is>
      </c>
      <c r="Z28" s="16" t="inlineStr">
        <is>
          <t>No</t>
        </is>
      </c>
      <c r="AA28" s="16" t="inlineStr">
        <is>
          <t>Más de 5</t>
        </is>
      </c>
      <c r="AB28" s="16" t="inlineStr">
        <is>
          <t>1</t>
        </is>
      </c>
      <c r="AC28" s="16" t="inlineStr">
        <is>
          <t>Guaraní</t>
        </is>
      </c>
      <c r="AE28" s="16" t="inlineStr">
        <is>
          <t>Español</t>
        </is>
      </c>
      <c r="AG28" s="16" t="inlineStr">
        <is>
          <t>Argentina</t>
        </is>
      </c>
      <c r="AI28" s="16" t="inlineStr">
        <is>
          <t>Bueno</t>
        </is>
      </c>
      <c r="AJ28" s="16" t="n">
        <v>19</v>
      </c>
      <c r="AK28" s="16" t="inlineStr">
        <is>
          <t>Viaje interprovincial</t>
        </is>
      </c>
      <c r="AL28" s="16" t="inlineStr">
        <is>
          <t>2 veces por semana</t>
        </is>
      </c>
      <c r="AN28" s="16" t="inlineStr">
        <is>
          <t>Diariamente</t>
        </is>
      </c>
      <c r="AP28" s="16" t="inlineStr">
        <is>
          <t>Dueño del camión</t>
        </is>
      </c>
      <c r="AR28" s="16" t="inlineStr">
        <is>
          <t>Conforme</t>
        </is>
      </c>
      <c r="AS28" s="16" t="inlineStr">
        <is>
          <t>Sí</t>
        </is>
      </c>
      <c r="AT28" s="16" t="n">
        <v>5.1</v>
      </c>
      <c r="AU28" s="16" t="inlineStr">
        <is>
          <t>Sí</t>
        </is>
      </c>
      <c r="AV28" s="16" t="inlineStr">
        <is>
          <t>En el camión al costado de la ruta</t>
        </is>
      </c>
      <c r="AX28" s="16" t="n">
        <v>4.7</v>
      </c>
      <c r="AY28" s="16" t="inlineStr">
        <is>
          <t>Nunca</t>
        </is>
      </c>
      <c r="AZ28" s="16" t="inlineStr">
        <is>
          <t>Gaseosas</t>
        </is>
      </c>
      <c r="BB28" s="16" t="inlineStr">
        <is>
          <t>A veces</t>
        </is>
      </c>
      <c r="BC28" s="16" t="inlineStr">
        <is>
          <t>Sí</t>
        </is>
      </c>
      <c r="BD28" s="16" t="inlineStr">
        <is>
          <t>Sí</t>
        </is>
      </c>
      <c r="BE28" s="16" t="inlineStr">
        <is>
          <t>Parcialmente</t>
        </is>
      </c>
      <c r="BF28" s="16" t="inlineStr">
        <is>
          <t>Ninguna</t>
        </is>
      </c>
      <c r="BG28" s="16" t="inlineStr">
        <is>
          <t>Sistema público</t>
        </is>
      </c>
      <c r="BH28" s="16" t="inlineStr">
        <is>
          <t>2 veces al año</t>
        </is>
      </c>
      <c r="BI28" s="16" t="inlineStr">
        <is>
          <t>Sistema público</t>
        </is>
      </c>
      <c r="BJ28" s="16" t="inlineStr">
        <is>
          <t>No</t>
        </is>
      </c>
      <c r="BL28" s="16" t="inlineStr">
        <is>
          <t>Medicamentos; Hierbas</t>
        </is>
      </c>
      <c r="BM28" s="16" t="inlineStr">
        <is>
          <t>Ibuprofeno</t>
        </is>
      </c>
      <c r="BN28" s="16" t="inlineStr">
        <is>
          <t>Musculoesqueléticos; Digestivas</t>
        </is>
      </c>
      <c r="BP28" s="16" t="inlineStr">
        <is>
          <t>2 a 3 veces por semana</t>
        </is>
      </c>
      <c r="BQ28" s="16" t="inlineStr">
        <is>
          <t>No</t>
        </is>
      </c>
      <c r="BS28" s="16" t="inlineStr">
        <is>
          <t>Sí</t>
        </is>
      </c>
      <c r="BT28" s="16" t="inlineStr">
        <is>
          <t>No</t>
        </is>
      </c>
      <c r="BU28" s="16" t="inlineStr">
        <is>
          <t>Nunca</t>
        </is>
      </c>
      <c r="BV28" s="16" t="inlineStr">
        <is>
          <t>No</t>
        </is>
      </c>
      <c r="BW28" s="16" t="inlineStr">
        <is>
          <t>Sí</t>
        </is>
      </c>
      <c r="BX28" s="16" t="inlineStr">
        <is>
          <t>Varón</t>
        </is>
      </c>
      <c r="BY28" s="16" t="n">
        <v>69.90000000000001</v>
      </c>
      <c r="BZ28" s="16" t="n">
        <v>1.7</v>
      </c>
      <c r="CA28" s="16" t="n">
        <v>24.2</v>
      </c>
      <c r="CB28" s="16" t="n">
        <v>92</v>
      </c>
      <c r="CC28" s="16" t="n">
        <v>155</v>
      </c>
      <c r="CD28" s="16" t="n">
        <v>98</v>
      </c>
      <c r="CE28" s="16" t="inlineStr">
        <is>
          <t>No</t>
        </is>
      </c>
      <c r="CF28" s="16" t="inlineStr">
        <is>
          <t>No</t>
        </is>
      </c>
      <c r="CG28" s="16" t="inlineStr">
        <is>
          <t>Sí</t>
        </is>
      </c>
      <c r="CH28" s="16" t="inlineStr">
        <is>
          <t>No</t>
        </is>
      </c>
      <c r="CI28" s="16" t="inlineStr">
        <is>
          <t>No</t>
        </is>
      </c>
      <c r="CJ28" s="16" t="inlineStr">
        <is>
          <t>No</t>
        </is>
      </c>
      <c r="CK28" s="16" t="inlineStr">
        <is>
          <t>No</t>
        </is>
      </c>
      <c r="CL28" s="16" t="inlineStr">
        <is>
          <t>Sí</t>
        </is>
      </c>
      <c r="CM28" s="16" t="inlineStr">
        <is>
          <t>07:44</t>
        </is>
      </c>
      <c r="CN28" s="16" t="inlineStr">
        <is>
          <t>Mate</t>
        </is>
      </c>
      <c r="CO28" s="16" t="inlineStr">
        <is>
          <t>13:30</t>
        </is>
      </c>
      <c r="CP28" s="16" t="n">
        <v>173</v>
      </c>
      <c r="CQ28" s="16" t="n">
        <v>346</v>
      </c>
      <c r="CR28" s="16" t="inlineStr">
        <is>
          <t>No</t>
        </is>
      </c>
      <c r="CV28" s="16" t="inlineStr">
        <is>
          <t>Sí</t>
        </is>
      </c>
      <c r="CW28" s="16" t="n">
        <v>0</v>
      </c>
      <c r="CX28" s="16" t="inlineStr">
        <is>
          <t>1</t>
        </is>
      </c>
      <c r="CY28" s="16" t="inlineStr">
        <is>
          <t>Bajo</t>
        </is>
      </c>
    </row>
    <row r="29">
      <c r="A29" s="16" t="inlineStr">
        <is>
          <t>demo-28</t>
        </is>
      </c>
      <c r="B29" s="16" t="inlineStr">
        <is>
          <t>B1-0028</t>
        </is>
      </c>
      <c r="C29" s="16" t="inlineStr">
        <is>
          <t>227-66-4600</t>
        </is>
      </c>
      <c r="D29" s="16" t="n">
        <v>227</v>
      </c>
      <c r="E29" s="16" t="n">
        <v>66</v>
      </c>
      <c r="F29" s="16" t="inlineStr">
        <is>
          <t>4600</t>
        </is>
      </c>
      <c r="G29" s="17" t="n">
        <v>46302</v>
      </c>
      <c r="H29" s="16" t="inlineStr">
        <is>
          <t>14:01</t>
        </is>
      </c>
      <c r="J29" s="16" t="inlineStr">
        <is>
          <t>B</t>
        </is>
      </c>
      <c r="K29" s="16" t="inlineStr">
        <is>
          <t>1</t>
        </is>
      </c>
      <c r="L29" s="16" t="inlineStr">
        <is>
          <t>Encuestador B</t>
        </is>
      </c>
      <c r="M29" s="16" t="inlineStr">
        <is>
          <t>Puesto 2</t>
        </is>
      </c>
      <c r="N29" s="16" t="inlineStr">
        <is>
          <t>Sí</t>
        </is>
      </c>
      <c r="O29" s="16" t="inlineStr">
        <is>
          <t>No</t>
        </is>
      </c>
      <c r="P29" s="16" t="n">
        <v>38</v>
      </c>
      <c r="Q29" s="16" t="inlineStr">
        <is>
          <t>Sí</t>
        </is>
      </c>
      <c r="R29" s="16" t="inlineStr">
        <is>
          <t>Sí</t>
        </is>
      </c>
      <c r="S29" s="16" t="inlineStr">
        <is>
          <t>Sí</t>
        </is>
      </c>
      <c r="T29" s="16" t="inlineStr">
        <is>
          <t>finalizado</t>
        </is>
      </c>
      <c r="U29" s="16" t="inlineStr">
        <is>
          <t>2026-10-v2</t>
        </is>
      </c>
      <c r="V29" s="16" t="inlineStr">
        <is>
          <t>2026-10-07T15:00:00.000Z</t>
        </is>
      </c>
      <c r="W29" s="16" t="inlineStr">
        <is>
          <t>Paraguay</t>
        </is>
      </c>
      <c r="Y29" s="16" t="inlineStr">
        <is>
          <t>Secundaria completa</t>
        </is>
      </c>
      <c r="Z29" s="16" t="inlineStr">
        <is>
          <t>No</t>
        </is>
      </c>
      <c r="AA29" s="16" t="inlineStr">
        <is>
          <t>Más de 5</t>
        </is>
      </c>
      <c r="AB29" s="16" t="inlineStr">
        <is>
          <t>2</t>
        </is>
      </c>
      <c r="AC29" s="16" t="inlineStr">
        <is>
          <t>Español</t>
        </is>
      </c>
      <c r="AE29" s="16" t="inlineStr">
        <is>
          <t>Español</t>
        </is>
      </c>
      <c r="AG29" s="16" t="inlineStr">
        <is>
          <t>Argentina</t>
        </is>
      </c>
      <c r="AI29" s="16" t="inlineStr">
        <is>
          <t>Regular</t>
        </is>
      </c>
      <c r="AJ29" s="16" t="n">
        <v>22</v>
      </c>
      <c r="AK29" s="16" t="inlineStr">
        <is>
          <t>Viaje internacional</t>
        </is>
      </c>
      <c r="AL29" s="16" t="inlineStr">
        <is>
          <t>Quincenalmente</t>
        </is>
      </c>
      <c r="AN29" s="16" t="inlineStr">
        <is>
          <t>3 veces por semana</t>
        </is>
      </c>
      <c r="AP29" s="16" t="inlineStr">
        <is>
          <t>Empleado</t>
        </is>
      </c>
      <c r="AR29" s="16" t="inlineStr">
        <is>
          <t>Conforme</t>
        </is>
      </c>
      <c r="AS29" s="16" t="inlineStr">
        <is>
          <t>No</t>
        </is>
      </c>
      <c r="AT29" s="16" t="n">
        <v>4.8</v>
      </c>
      <c r="AU29" s="16" t="inlineStr">
        <is>
          <t>Sí</t>
        </is>
      </c>
      <c r="AV29" s="16" t="inlineStr">
        <is>
          <t>Estaciones de servicio</t>
        </is>
      </c>
      <c r="AX29" s="16" t="n">
        <v>6.1</v>
      </c>
      <c r="AY29" s="16" t="inlineStr">
        <is>
          <t>Todos los días</t>
        </is>
      </c>
      <c r="AZ29" s="16" t="inlineStr">
        <is>
          <t>Gaseosas; Jugos artificiales</t>
        </is>
      </c>
      <c r="BB29" s="16" t="inlineStr">
        <is>
          <t>Casi nunca</t>
        </is>
      </c>
      <c r="BC29" s="16" t="inlineStr">
        <is>
          <t>No</t>
        </is>
      </c>
      <c r="BD29" s="16" t="inlineStr">
        <is>
          <t>No</t>
        </is>
      </c>
      <c r="BE29" s="16" t="inlineStr">
        <is>
          <t>No</t>
        </is>
      </c>
      <c r="BF29" s="16" t="inlineStr">
        <is>
          <t>Obra social</t>
        </is>
      </c>
      <c r="BG29" s="16" t="inlineStr">
        <is>
          <t>Sistema privado</t>
        </is>
      </c>
      <c r="BH29" s="16" t="inlineStr">
        <is>
          <t>Una vez al año</t>
        </is>
      </c>
      <c r="BI29" s="16" t="inlineStr">
        <is>
          <t>Sistema público; Otros (medicina tradicional, alternativa, etc.)</t>
        </is>
      </c>
      <c r="BJ29" s="16" t="inlineStr">
        <is>
          <t>Sí</t>
        </is>
      </c>
      <c r="BK29" s="16" t="inlineStr">
        <is>
          <t>Cervical</t>
        </is>
      </c>
      <c r="BL29" s="16" t="inlineStr">
        <is>
          <t>Ninguno</t>
        </is>
      </c>
      <c r="BN29" s="16" t="inlineStr">
        <is>
          <t>No tengo diagnóstico de enfermedad</t>
        </is>
      </c>
      <c r="BP29" s="16" t="inlineStr">
        <is>
          <t>Nunca</t>
        </is>
      </c>
      <c r="BQ29" s="16" t="inlineStr">
        <is>
          <t>Café</t>
        </is>
      </c>
      <c r="BS29" s="16" t="inlineStr">
        <is>
          <t>Sí</t>
        </is>
      </c>
      <c r="BT29" s="16" t="inlineStr">
        <is>
          <t>No</t>
        </is>
      </c>
      <c r="BU29" s="16" t="inlineStr">
        <is>
          <t>A veces</t>
        </is>
      </c>
      <c r="BV29" s="16" t="inlineStr">
        <is>
          <t>Sí</t>
        </is>
      </c>
      <c r="BW29" s="16" t="inlineStr">
        <is>
          <t>Sí</t>
        </is>
      </c>
      <c r="BX29" s="16" t="inlineStr">
        <is>
          <t>Varón</t>
        </is>
      </c>
      <c r="BY29" s="16" t="n">
        <v>79.59999999999999</v>
      </c>
      <c r="BZ29" s="16" t="n">
        <v>1.86</v>
      </c>
      <c r="CA29" s="16" t="n">
        <v>23</v>
      </c>
      <c r="CB29" s="16" t="n">
        <v>111</v>
      </c>
      <c r="CC29" s="16" t="n">
        <v>134</v>
      </c>
      <c r="CD29" s="16" t="n">
        <v>85</v>
      </c>
      <c r="CE29" s="16" t="inlineStr">
        <is>
          <t>Sí</t>
        </is>
      </c>
      <c r="CF29" s="16" t="inlineStr">
        <is>
          <t>No</t>
        </is>
      </c>
      <c r="CG29" s="16" t="inlineStr">
        <is>
          <t>No</t>
        </is>
      </c>
      <c r="CH29" s="16" t="inlineStr">
        <is>
          <t>No</t>
        </is>
      </c>
      <c r="CI29" s="16" t="inlineStr">
        <is>
          <t>No</t>
        </is>
      </c>
      <c r="CJ29" s="16" t="inlineStr">
        <is>
          <t>Sí, parientes lejanos</t>
        </is>
      </c>
      <c r="CK29" s="16" t="inlineStr">
        <is>
          <t>Sí</t>
        </is>
      </c>
      <c r="CL29" s="16" t="inlineStr">
        <is>
          <t>Sí</t>
        </is>
      </c>
      <c r="CM29" s="16" t="inlineStr">
        <is>
          <t>07:43</t>
        </is>
      </c>
      <c r="CN29" s="16" t="inlineStr">
        <is>
          <t>Mate</t>
        </is>
      </c>
      <c r="CO29" s="16" t="inlineStr">
        <is>
          <t>12:30</t>
        </is>
      </c>
      <c r="CP29" s="16" t="n">
        <v>176</v>
      </c>
      <c r="CQ29" s="16" t="n">
        <v>287</v>
      </c>
      <c r="CR29" s="16" t="inlineStr">
        <is>
          <t>No</t>
        </is>
      </c>
      <c r="CV29" s="16" t="inlineStr">
        <is>
          <t>Sí</t>
        </is>
      </c>
      <c r="CW29" s="16" t="n">
        <v>16</v>
      </c>
      <c r="CX29" s="16" t="inlineStr">
        <is>
          <t>25</t>
        </is>
      </c>
      <c r="CY29" s="16" t="inlineStr">
        <is>
          <t>Alto</t>
        </is>
      </c>
    </row>
    <row r="30">
      <c r="A30" s="16" t="inlineStr">
        <is>
          <t>demo-29</t>
        </is>
      </c>
      <c r="B30" s="16" t="inlineStr">
        <is>
          <t>A1-0029</t>
        </is>
      </c>
      <c r="C30" s="16" t="inlineStr">
        <is>
          <t>029-42-4612</t>
        </is>
      </c>
      <c r="D30" s="16" t="n">
        <v>29</v>
      </c>
      <c r="E30" s="16" t="n">
        <v>42</v>
      </c>
      <c r="F30" s="16" t="inlineStr">
        <is>
          <t>4612</t>
        </is>
      </c>
      <c r="G30" s="17" t="n">
        <v>46289</v>
      </c>
      <c r="H30" s="16" t="inlineStr">
        <is>
          <t>11:08</t>
        </is>
      </c>
      <c r="J30" s="16" t="inlineStr">
        <is>
          <t>A</t>
        </is>
      </c>
      <c r="K30" s="16" t="inlineStr">
        <is>
          <t>1</t>
        </is>
      </c>
      <c r="L30" s="16" t="inlineStr">
        <is>
          <t>Encuestador A</t>
        </is>
      </c>
      <c r="M30" s="16" t="inlineStr">
        <is>
          <t>Puesto 1</t>
        </is>
      </c>
      <c r="N30" s="16" t="inlineStr">
        <is>
          <t>Sí</t>
        </is>
      </c>
      <c r="O30" s="16" t="inlineStr">
        <is>
          <t>Sí</t>
        </is>
      </c>
      <c r="P30" s="16" t="n">
        <v>38</v>
      </c>
      <c r="Q30" s="16" t="inlineStr">
        <is>
          <t>Sí</t>
        </is>
      </c>
      <c r="R30" s="16" t="inlineStr">
        <is>
          <t>Sí</t>
        </is>
      </c>
      <c r="S30" s="16" t="inlineStr">
        <is>
          <t>Sí</t>
        </is>
      </c>
      <c r="T30" s="16" t="inlineStr">
        <is>
          <t>finalizado</t>
        </is>
      </c>
      <c r="U30" s="16" t="inlineStr">
        <is>
          <t>2026-10-v2</t>
        </is>
      </c>
      <c r="V30" s="16" t="inlineStr">
        <is>
          <t>2026-09-24T15:00:00.000Z</t>
        </is>
      </c>
      <c r="W30" s="16" t="inlineStr">
        <is>
          <t>Argentina</t>
        </is>
      </c>
      <c r="Y30" s="16" t="inlineStr">
        <is>
          <t>Secundaria completa</t>
        </is>
      </c>
      <c r="Z30" s="16" t="inlineStr">
        <is>
          <t>Sí</t>
        </is>
      </c>
      <c r="AA30" s="16" t="inlineStr">
        <is>
          <t>2</t>
        </is>
      </c>
      <c r="AB30" s="16" t="inlineStr">
        <is>
          <t>5</t>
        </is>
      </c>
      <c r="AC30" s="16" t="inlineStr">
        <is>
          <t>Inglés; Guaraní</t>
        </is>
      </c>
      <c r="AE30" s="16" t="inlineStr">
        <is>
          <t>Español</t>
        </is>
      </c>
      <c r="AG30" s="16" t="inlineStr">
        <is>
          <t>Argentina</t>
        </is>
      </c>
      <c r="AI30" s="16" t="inlineStr">
        <is>
          <t>Regular</t>
        </is>
      </c>
      <c r="AJ30" s="16" t="n">
        <v>7</v>
      </c>
      <c r="AK30" s="16" t="inlineStr">
        <is>
          <t>Viaje provincial (Jujuy)</t>
        </is>
      </c>
      <c r="AL30" s="16" t="inlineStr">
        <is>
          <t>Una vez al mes</t>
        </is>
      </c>
      <c r="AN30" s="16" t="inlineStr">
        <is>
          <t>3 veces por semana</t>
        </is>
      </c>
      <c r="AP30" s="16" t="inlineStr">
        <is>
          <t>Empleado</t>
        </is>
      </c>
      <c r="AR30" s="16" t="inlineStr">
        <is>
          <t>Conforme</t>
        </is>
      </c>
      <c r="AS30" s="16" t="inlineStr">
        <is>
          <t>Sí</t>
        </is>
      </c>
      <c r="AT30" s="16" t="n">
        <v>8.6</v>
      </c>
      <c r="AU30" s="16" t="inlineStr">
        <is>
          <t>Sí</t>
        </is>
      </c>
      <c r="AV30" s="16" t="inlineStr">
        <is>
          <t>Estaciones de servicio</t>
        </is>
      </c>
      <c r="AX30" s="16" t="n">
        <v>4</v>
      </c>
      <c r="AY30" s="16" t="inlineStr">
        <is>
          <t>Casi nunca</t>
        </is>
      </c>
      <c r="AZ30" s="16" t="inlineStr">
        <is>
          <t>Agua; Mate</t>
        </is>
      </c>
      <c r="BB30" s="16" t="inlineStr">
        <is>
          <t>Sí, siempre</t>
        </is>
      </c>
      <c r="BC30" s="16" t="inlineStr">
        <is>
          <t>Algunas veces</t>
        </is>
      </c>
      <c r="BD30" s="16" t="inlineStr">
        <is>
          <t>No</t>
        </is>
      </c>
      <c r="BE30" s="16" t="inlineStr">
        <is>
          <t>Parcialmente</t>
        </is>
      </c>
      <c r="BF30" s="16" t="inlineStr">
        <is>
          <t>Obra social</t>
        </is>
      </c>
      <c r="BG30" s="16" t="inlineStr">
        <is>
          <t>Sistema público</t>
        </is>
      </c>
      <c r="BH30" s="16" t="inlineStr">
        <is>
          <t>2 veces al año</t>
        </is>
      </c>
      <c r="BI30" s="16" t="inlineStr">
        <is>
          <t>Sistema público</t>
        </is>
      </c>
      <c r="BJ30" s="16" t="inlineStr">
        <is>
          <t>No</t>
        </is>
      </c>
      <c r="BL30" s="16" t="inlineStr">
        <is>
          <t>Ninguno</t>
        </is>
      </c>
      <c r="BN30" s="16" t="inlineStr">
        <is>
          <t>No tengo diagnóstico de enfermedad</t>
        </is>
      </c>
      <c r="BP30" s="16" t="inlineStr">
        <is>
          <t>2 a 3 veces por semana</t>
        </is>
      </c>
      <c r="BQ30" s="16" t="inlineStr">
        <is>
          <t>Café; Coca-Cola</t>
        </is>
      </c>
      <c r="BS30" s="16" t="inlineStr">
        <is>
          <t>Sí</t>
        </is>
      </c>
      <c r="BT30" s="16" t="inlineStr">
        <is>
          <t>Sí</t>
        </is>
      </c>
      <c r="BU30" s="16" t="inlineStr">
        <is>
          <t>Nunca</t>
        </is>
      </c>
      <c r="BV30" s="16" t="inlineStr">
        <is>
          <t>Sí</t>
        </is>
      </c>
      <c r="BW30" s="16" t="inlineStr">
        <is>
          <t>No</t>
        </is>
      </c>
      <c r="BX30" s="16" t="inlineStr">
        <is>
          <t>Varón</t>
        </is>
      </c>
      <c r="BY30" s="16" t="n">
        <v>125.8</v>
      </c>
      <c r="BZ30" s="16" t="n">
        <v>1.88</v>
      </c>
      <c r="CA30" s="16" t="n">
        <v>35.6</v>
      </c>
      <c r="CB30" s="16" t="n">
        <v>79</v>
      </c>
      <c r="CC30" s="16" t="n">
        <v>121</v>
      </c>
      <c r="CD30" s="16" t="n">
        <v>77</v>
      </c>
      <c r="CE30" s="16" t="inlineStr">
        <is>
          <t>No</t>
        </is>
      </c>
      <c r="CF30" s="16" t="inlineStr">
        <is>
          <t>No</t>
        </is>
      </c>
      <c r="CG30" s="16" t="inlineStr">
        <is>
          <t>No</t>
        </is>
      </c>
      <c r="CH30" s="16" t="inlineStr">
        <is>
          <t>No</t>
        </is>
      </c>
      <c r="CI30" s="16" t="inlineStr">
        <is>
          <t>No</t>
        </is>
      </c>
      <c r="CJ30" s="16" t="inlineStr">
        <is>
          <t>No</t>
        </is>
      </c>
      <c r="CK30" s="16" t="inlineStr">
        <is>
          <t>Sí</t>
        </is>
      </c>
      <c r="CL30" s="16" t="inlineStr">
        <is>
          <t>Sí</t>
        </is>
      </c>
      <c r="CM30" s="16" t="inlineStr">
        <is>
          <t>07:21</t>
        </is>
      </c>
      <c r="CN30" s="16" t="inlineStr">
        <is>
          <t>Mate</t>
        </is>
      </c>
      <c r="CO30" s="16" t="inlineStr">
        <is>
          <t>15:30</t>
        </is>
      </c>
      <c r="CP30" s="16" t="n">
        <v>93</v>
      </c>
      <c r="CQ30" s="16" t="n">
        <v>489</v>
      </c>
      <c r="CR30" s="16" t="inlineStr">
        <is>
          <t>Sí</t>
        </is>
      </c>
      <c r="CS30" s="16" t="n">
        <v>6</v>
      </c>
      <c r="CT30" s="16" t="inlineStr">
        <is>
          <t>Bajo</t>
        </is>
      </c>
      <c r="CU30" s="16" t="inlineStr">
        <is>
          <t>1 %</t>
        </is>
      </c>
      <c r="CV30" s="16" t="inlineStr">
        <is>
          <t>Sí</t>
        </is>
      </c>
      <c r="CW30" s="16" t="n">
        <v>7</v>
      </c>
      <c r="CX30" s="16" t="inlineStr">
        <is>
          <t>3</t>
        </is>
      </c>
      <c r="CY30" s="16" t="inlineStr">
        <is>
          <t>Bajo</t>
        </is>
      </c>
    </row>
    <row r="31">
      <c r="A31" s="16" t="inlineStr">
        <is>
          <t>demo-30</t>
        </is>
      </c>
      <c r="B31" s="16" t="inlineStr">
        <is>
          <t>C1-0030</t>
        </is>
      </c>
      <c r="C31" s="16" t="inlineStr">
        <is>
          <t>429-32-4612</t>
        </is>
      </c>
      <c r="D31" s="16" t="n">
        <v>429</v>
      </c>
      <c r="E31" s="16" t="n">
        <v>32</v>
      </c>
      <c r="F31" s="16" t="inlineStr">
        <is>
          <t>4612</t>
        </is>
      </c>
      <c r="G31" s="17" t="n">
        <v>46290</v>
      </c>
      <c r="H31" s="16" t="inlineStr">
        <is>
          <t>16:01</t>
        </is>
      </c>
      <c r="J31" s="16" t="inlineStr">
        <is>
          <t>C</t>
        </is>
      </c>
      <c r="K31" s="16" t="inlineStr">
        <is>
          <t>1</t>
        </is>
      </c>
      <c r="L31" s="16" t="inlineStr">
        <is>
          <t>Encuestador C</t>
        </is>
      </c>
      <c r="M31" s="16" t="inlineStr">
        <is>
          <t>Puesto 1</t>
        </is>
      </c>
      <c r="N31" s="16" t="inlineStr">
        <is>
          <t>Sí</t>
        </is>
      </c>
      <c r="O31" s="16" t="inlineStr">
        <is>
          <t>No</t>
        </is>
      </c>
      <c r="P31" s="16" t="n">
        <v>39</v>
      </c>
      <c r="Q31" s="16" t="inlineStr">
        <is>
          <t>Sí</t>
        </is>
      </c>
      <c r="R31" s="16" t="inlineStr">
        <is>
          <t>Sí</t>
        </is>
      </c>
      <c r="S31" s="16" t="inlineStr">
        <is>
          <t>Sí</t>
        </is>
      </c>
      <c r="T31" s="16" t="inlineStr">
        <is>
          <t>finalizado</t>
        </is>
      </c>
      <c r="U31" s="16" t="inlineStr">
        <is>
          <t>2026-10-v2</t>
        </is>
      </c>
      <c r="V31" s="16" t="inlineStr">
        <is>
          <t>2026-09-25T15:00:00.000Z</t>
        </is>
      </c>
      <c r="W31" s="16" t="inlineStr">
        <is>
          <t>Argentina</t>
        </is>
      </c>
      <c r="Y31" s="16" t="inlineStr">
        <is>
          <t>Secundaria incompleta</t>
        </is>
      </c>
      <c r="Z31" s="16" t="inlineStr">
        <is>
          <t>Sí</t>
        </is>
      </c>
      <c r="AA31" s="16" t="inlineStr">
        <is>
          <t>1</t>
        </is>
      </c>
      <c r="AB31" s="16" t="inlineStr">
        <is>
          <t>1</t>
        </is>
      </c>
      <c r="AC31" s="16" t="inlineStr">
        <is>
          <t>Portugués</t>
        </is>
      </c>
      <c r="AE31" s="16" t="inlineStr">
        <is>
          <t>Español</t>
        </is>
      </c>
      <c r="AG31" s="16" t="inlineStr">
        <is>
          <t>Argentina</t>
        </is>
      </c>
      <c r="AI31" s="16" t="inlineStr">
        <is>
          <t>Malo</t>
        </is>
      </c>
      <c r="AJ31" s="16" t="n">
        <v>6</v>
      </c>
      <c r="AK31" s="16" t="inlineStr">
        <is>
          <t>Viaje interprovincial</t>
        </is>
      </c>
      <c r="AL31" s="16" t="inlineStr">
        <is>
          <t>Quincenalmente</t>
        </is>
      </c>
      <c r="AN31" s="16" t="inlineStr">
        <is>
          <t>Diariamente</t>
        </is>
      </c>
      <c r="AP31" s="16" t="inlineStr">
        <is>
          <t>Empleado</t>
        </is>
      </c>
      <c r="AR31" s="16" t="inlineStr">
        <is>
          <t>Parcialmente conforme</t>
        </is>
      </c>
      <c r="AS31" s="16" t="inlineStr">
        <is>
          <t>Duda</t>
        </is>
      </c>
      <c r="AT31" s="16" t="n">
        <v>2.2</v>
      </c>
      <c r="AU31" s="16" t="inlineStr">
        <is>
          <t>Sí</t>
        </is>
      </c>
      <c r="AV31" s="16" t="inlineStr">
        <is>
          <t>Estaciones de servicio</t>
        </is>
      </c>
      <c r="AX31" s="16" t="n">
        <v>5.6</v>
      </c>
      <c r="AY31" s="16" t="inlineStr">
        <is>
          <t>Casi nunca</t>
        </is>
      </c>
      <c r="AZ31" s="16" t="inlineStr">
        <is>
          <t>Gaseosas</t>
        </is>
      </c>
      <c r="BB31" s="16" t="inlineStr">
        <is>
          <t>Nunca</t>
        </is>
      </c>
      <c r="BC31" s="16" t="inlineStr">
        <is>
          <t>No</t>
        </is>
      </c>
      <c r="BD31" s="16" t="inlineStr">
        <is>
          <t>No</t>
        </is>
      </c>
      <c r="BE31" s="16" t="inlineStr">
        <is>
          <t>Parcialmente</t>
        </is>
      </c>
      <c r="BF31" s="16" t="inlineStr">
        <is>
          <t>Obra social</t>
        </is>
      </c>
      <c r="BG31" s="16" t="inlineStr">
        <is>
          <t>Sistema público</t>
        </is>
      </c>
      <c r="BH31" s="16" t="inlineStr">
        <is>
          <t>2 veces al año</t>
        </is>
      </c>
      <c r="BI31" s="16" t="inlineStr">
        <is>
          <t>Sistema público</t>
        </is>
      </c>
      <c r="BJ31" s="16" t="inlineStr">
        <is>
          <t>No</t>
        </is>
      </c>
      <c r="BL31" s="16" t="inlineStr">
        <is>
          <t>Medicamentos; Hierbas</t>
        </is>
      </c>
      <c r="BM31" s="16" t="inlineStr">
        <is>
          <t>Ibuprofeno</t>
        </is>
      </c>
      <c r="BN31" s="16" t="inlineStr">
        <is>
          <t>Musculoesqueléticos; Digestivas</t>
        </is>
      </c>
      <c r="BP31" s="16" t="inlineStr">
        <is>
          <t>2 a 3 veces por semana</t>
        </is>
      </c>
      <c r="BQ31" s="16" t="inlineStr">
        <is>
          <t>Café</t>
        </is>
      </c>
      <c r="BS31" s="16" t="inlineStr">
        <is>
          <t>Sí</t>
        </is>
      </c>
      <c r="BT31" s="16" t="inlineStr">
        <is>
          <t>Sí</t>
        </is>
      </c>
      <c r="BU31" s="16" t="inlineStr">
        <is>
          <t>Siempre</t>
        </is>
      </c>
      <c r="BV31" s="16" t="inlineStr">
        <is>
          <t>No</t>
        </is>
      </c>
      <c r="BW31" s="16" t="inlineStr">
        <is>
          <t>No</t>
        </is>
      </c>
      <c r="BX31" s="16" t="inlineStr">
        <is>
          <t>Varón</t>
        </is>
      </c>
      <c r="BY31" s="16" t="n">
        <v>109.1</v>
      </c>
      <c r="BZ31" s="16" t="n">
        <v>1.87</v>
      </c>
      <c r="CA31" s="16" t="n">
        <v>31.2</v>
      </c>
      <c r="CB31" s="16" t="n">
        <v>84</v>
      </c>
      <c r="CC31" s="16" t="n">
        <v>152</v>
      </c>
      <c r="CD31" s="16" t="n">
        <v>96</v>
      </c>
      <c r="CE31" s="16" t="inlineStr">
        <is>
          <t>Sí</t>
        </is>
      </c>
      <c r="CF31" s="16" t="inlineStr">
        <is>
          <t>No</t>
        </is>
      </c>
      <c r="CG31" s="16" t="inlineStr">
        <is>
          <t>No</t>
        </is>
      </c>
      <c r="CH31" s="16" t="inlineStr">
        <is>
          <t>No</t>
        </is>
      </c>
      <c r="CI31" s="16" t="inlineStr">
        <is>
          <t>No</t>
        </is>
      </c>
      <c r="CJ31" s="16" t="inlineStr">
        <is>
          <t>Sí, primer grado</t>
        </is>
      </c>
      <c r="CK31" s="16" t="inlineStr">
        <is>
          <t>Sí</t>
        </is>
      </c>
      <c r="CL31" s="16" t="inlineStr">
        <is>
          <t>Sí</t>
        </is>
      </c>
      <c r="CM31" s="16" t="inlineStr">
        <is>
          <t>07:44</t>
        </is>
      </c>
      <c r="CN31" s="16" t="inlineStr">
        <is>
          <t>Mate</t>
        </is>
      </c>
      <c r="CO31" s="16" t="inlineStr">
        <is>
          <t>15:30</t>
        </is>
      </c>
      <c r="CP31" s="16" t="n">
        <v>160</v>
      </c>
      <c r="CQ31" s="16" t="n">
        <v>466</v>
      </c>
      <c r="CR31" s="16" t="inlineStr">
        <is>
          <t>Sí</t>
        </is>
      </c>
      <c r="CS31" s="16" t="n">
        <v>9</v>
      </c>
      <c r="CT31" s="16" t="inlineStr">
        <is>
          <t>Ligeramente elevado</t>
        </is>
      </c>
      <c r="CU31" s="16" t="inlineStr">
        <is>
          <t>4 %</t>
        </is>
      </c>
      <c r="CV31" s="16" t="inlineStr">
        <is>
          <t>Sí</t>
        </is>
      </c>
      <c r="CW31" s="16" t="n">
        <v>3</v>
      </c>
      <c r="CX31" s="16" t="inlineStr">
        <is>
          <t>1</t>
        </is>
      </c>
      <c r="CY31" s="16" t="inlineStr">
        <is>
          <t>Bajo</t>
        </is>
      </c>
    </row>
    <row r="32">
      <c r="A32" s="16" t="inlineStr">
        <is>
          <t>demo-31</t>
        </is>
      </c>
      <c r="B32" s="16" t="inlineStr">
        <is>
          <t>A1-0031</t>
        </is>
      </c>
      <c r="C32" s="16" t="inlineStr">
        <is>
          <t>031-28-4612</t>
        </is>
      </c>
      <c r="D32" s="16" t="n">
        <v>31</v>
      </c>
      <c r="E32" s="16" t="n">
        <v>28</v>
      </c>
      <c r="F32" s="16" t="inlineStr">
        <is>
          <t>4612</t>
        </is>
      </c>
      <c r="G32" s="17" t="n">
        <v>46301</v>
      </c>
      <c r="H32" s="16" t="inlineStr">
        <is>
          <t>15:06</t>
        </is>
      </c>
      <c r="J32" s="16" t="inlineStr">
        <is>
          <t>A</t>
        </is>
      </c>
      <c r="K32" s="16" t="inlineStr">
        <is>
          <t>1</t>
        </is>
      </c>
      <c r="L32" s="16" t="inlineStr">
        <is>
          <t>Encuestador A</t>
        </is>
      </c>
      <c r="M32" s="16" t="inlineStr">
        <is>
          <t>Puesto 1</t>
        </is>
      </c>
      <c r="N32" s="16" t="inlineStr">
        <is>
          <t>Sí</t>
        </is>
      </c>
      <c r="O32" s="16" t="inlineStr">
        <is>
          <t>Sí</t>
        </is>
      </c>
      <c r="P32" s="16" t="n">
        <v>38</v>
      </c>
      <c r="Q32" s="16" t="inlineStr">
        <is>
          <t>Sí</t>
        </is>
      </c>
      <c r="R32" s="16" t="inlineStr">
        <is>
          <t>Sí</t>
        </is>
      </c>
      <c r="S32" s="16" t="inlineStr">
        <is>
          <t>Sí</t>
        </is>
      </c>
      <c r="T32" s="16" t="inlineStr">
        <is>
          <t>finalizado</t>
        </is>
      </c>
      <c r="U32" s="16" t="inlineStr">
        <is>
          <t>2026-10-v2</t>
        </is>
      </c>
      <c r="V32" s="16" t="inlineStr">
        <is>
          <t>2026-10-06T15:00:00.000Z</t>
        </is>
      </c>
      <c r="W32" s="16" t="inlineStr">
        <is>
          <t>Argentina</t>
        </is>
      </c>
      <c r="Y32" s="16" t="inlineStr">
        <is>
          <t>Secundaria completa</t>
        </is>
      </c>
      <c r="Z32" s="16" t="inlineStr">
        <is>
          <t>Sí</t>
        </is>
      </c>
      <c r="AA32" s="16" t="inlineStr">
        <is>
          <t>Más de 5</t>
        </is>
      </c>
      <c r="AB32" s="16" t="inlineStr">
        <is>
          <t>3</t>
        </is>
      </c>
      <c r="AC32" s="16" t="inlineStr">
        <is>
          <t>Español</t>
        </is>
      </c>
      <c r="AE32" s="16" t="inlineStr">
        <is>
          <t>Español</t>
        </is>
      </c>
      <c r="AG32" s="16" t="inlineStr">
        <is>
          <t>Argentina</t>
        </is>
      </c>
      <c r="AI32" s="16" t="inlineStr">
        <is>
          <t>Bueno</t>
        </is>
      </c>
      <c r="AJ32" s="16" t="n">
        <v>8</v>
      </c>
      <c r="AK32" s="16" t="inlineStr">
        <is>
          <t>Viaje interprovincial</t>
        </is>
      </c>
      <c r="AL32" s="16" t="inlineStr">
        <is>
          <t>Una vez al mes</t>
        </is>
      </c>
      <c r="AN32" s="16" t="inlineStr">
        <is>
          <t>Diariamente</t>
        </is>
      </c>
      <c r="AP32" s="16" t="inlineStr">
        <is>
          <t>Otro</t>
        </is>
      </c>
      <c r="AR32" s="16" t="inlineStr">
        <is>
          <t>Parcialmente conforme</t>
        </is>
      </c>
      <c r="AS32" s="16" t="inlineStr">
        <is>
          <t>Sí</t>
        </is>
      </c>
      <c r="AT32" s="16" t="n">
        <v>5.6</v>
      </c>
      <c r="AU32" s="16" t="inlineStr">
        <is>
          <t>Sí</t>
        </is>
      </c>
      <c r="AV32" s="16" t="inlineStr">
        <is>
          <t>En el camión al costado de la ruta</t>
        </is>
      </c>
      <c r="AX32" s="16" t="n">
        <v>4.5</v>
      </c>
      <c r="AY32" s="16" t="inlineStr">
        <is>
          <t>Varias veces por semana</t>
        </is>
      </c>
      <c r="AZ32" s="16" t="inlineStr">
        <is>
          <t>Café; Jugos artificiales</t>
        </is>
      </c>
      <c r="BB32" s="16" t="inlineStr">
        <is>
          <t>A veces</t>
        </is>
      </c>
      <c r="BC32" s="16" t="inlineStr">
        <is>
          <t>No</t>
        </is>
      </c>
      <c r="BD32" s="16" t="inlineStr">
        <is>
          <t>No</t>
        </is>
      </c>
      <c r="BE32" s="16" t="inlineStr">
        <is>
          <t>No</t>
        </is>
      </c>
      <c r="BF32" s="16" t="inlineStr">
        <is>
          <t>Ninguna</t>
        </is>
      </c>
      <c r="BG32" s="16" t="inlineStr">
        <is>
          <t>Ninguno</t>
        </is>
      </c>
      <c r="BH32" s="16" t="inlineStr">
        <is>
          <t>Solo cuando me siento mal</t>
        </is>
      </c>
      <c r="BI32" s="16" t="inlineStr">
        <is>
          <t>Sistema público; Otros (medicina tradicional, alternativa, etc.)</t>
        </is>
      </c>
      <c r="BJ32" s="16" t="inlineStr">
        <is>
          <t>Sí</t>
        </is>
      </c>
      <c r="BK32" s="16" t="inlineStr">
        <is>
          <t>Cervical</t>
        </is>
      </c>
      <c r="BL32" s="16" t="inlineStr">
        <is>
          <t>Ninguno</t>
        </is>
      </c>
      <c r="BN32" s="16" t="inlineStr">
        <is>
          <t>No tengo diagnóstico de enfermedad</t>
        </is>
      </c>
      <c r="BP32" s="16" t="inlineStr">
        <is>
          <t>Una vez a la semana</t>
        </is>
      </c>
      <c r="BQ32" s="16" t="inlineStr">
        <is>
          <t>Café</t>
        </is>
      </c>
      <c r="BS32" s="16" t="inlineStr">
        <is>
          <t>No</t>
        </is>
      </c>
      <c r="BT32" s="16" t="inlineStr">
        <is>
          <t>Sí</t>
        </is>
      </c>
      <c r="BU32" s="16" t="inlineStr">
        <is>
          <t>A veces</t>
        </is>
      </c>
      <c r="BV32" s="16" t="inlineStr">
        <is>
          <t>Sí</t>
        </is>
      </c>
      <c r="BW32" s="16" t="inlineStr">
        <is>
          <t>No</t>
        </is>
      </c>
      <c r="BX32" s="16" t="inlineStr">
        <is>
          <t>Varón</t>
        </is>
      </c>
      <c r="BY32" s="16" t="n">
        <v>73.90000000000001</v>
      </c>
      <c r="BZ32" s="16" t="n">
        <v>1.67</v>
      </c>
      <c r="CA32" s="16" t="n">
        <v>26.5</v>
      </c>
      <c r="CB32" s="16" t="n">
        <v>109</v>
      </c>
      <c r="CC32" s="16" t="n">
        <v>156</v>
      </c>
      <c r="CD32" s="16" t="n">
        <v>99</v>
      </c>
      <c r="CE32" s="16" t="inlineStr">
        <is>
          <t>Sí</t>
        </is>
      </c>
      <c r="CF32" s="16" t="inlineStr">
        <is>
          <t>No</t>
        </is>
      </c>
      <c r="CG32" s="16" t="inlineStr">
        <is>
          <t>No</t>
        </is>
      </c>
      <c r="CH32" s="16" t="inlineStr">
        <is>
          <t>No</t>
        </is>
      </c>
      <c r="CI32" s="16" t="inlineStr">
        <is>
          <t>No</t>
        </is>
      </c>
      <c r="CJ32" s="16" t="inlineStr">
        <is>
          <t>No</t>
        </is>
      </c>
      <c r="CK32" s="16" t="inlineStr">
        <is>
          <t>Sí</t>
        </is>
      </c>
      <c r="CL32" s="16" t="inlineStr">
        <is>
          <t>Sí</t>
        </is>
      </c>
      <c r="CM32" s="16" t="inlineStr">
        <is>
          <t>07:31</t>
        </is>
      </c>
      <c r="CN32" s="16" t="inlineStr">
        <is>
          <t>Mate</t>
        </is>
      </c>
      <c r="CO32" s="16" t="inlineStr">
        <is>
          <t>12:30</t>
        </is>
      </c>
      <c r="CP32" s="16" t="n">
        <v>175</v>
      </c>
      <c r="CQ32" s="16" t="n">
        <v>299</v>
      </c>
      <c r="CR32" s="16" t="inlineStr">
        <is>
          <t>Sí</t>
        </is>
      </c>
      <c r="CS32" s="16" t="n">
        <v>6</v>
      </c>
      <c r="CT32" s="16" t="inlineStr">
        <is>
          <t>Bajo</t>
        </is>
      </c>
      <c r="CU32" s="16" t="inlineStr">
        <is>
          <t>1 %</t>
        </is>
      </c>
      <c r="CV32" s="16" t="inlineStr">
        <is>
          <t>Sí</t>
        </is>
      </c>
      <c r="CW32" s="16" t="n">
        <v>1</v>
      </c>
      <c r="CX32" s="16" t="inlineStr">
        <is>
          <t>1</t>
        </is>
      </c>
      <c r="CY32" s="16" t="inlineStr">
        <is>
          <t>Bajo</t>
        </is>
      </c>
    </row>
    <row r="33">
      <c r="A33" s="16" t="inlineStr">
        <is>
          <t>demo-32</t>
        </is>
      </c>
      <c r="B33" s="16" t="inlineStr">
        <is>
          <t>A1-0032</t>
        </is>
      </c>
      <c r="C33" s="16" t="inlineStr">
        <is>
          <t>032-66-4400</t>
        </is>
      </c>
      <c r="D33" s="16" t="n">
        <v>32</v>
      </c>
      <c r="E33" s="16" t="n">
        <v>66</v>
      </c>
      <c r="F33" s="16" t="inlineStr">
        <is>
          <t>4400</t>
        </is>
      </c>
      <c r="G33" s="17" t="n">
        <v>46289</v>
      </c>
      <c r="H33" s="16" t="inlineStr">
        <is>
          <t>16:04</t>
        </is>
      </c>
      <c r="J33" s="16" t="inlineStr">
        <is>
          <t>A</t>
        </is>
      </c>
      <c r="K33" s="16" t="inlineStr">
        <is>
          <t>1</t>
        </is>
      </c>
      <c r="L33" s="16" t="inlineStr">
        <is>
          <t>Encuestador A</t>
        </is>
      </c>
      <c r="M33" s="16" t="inlineStr">
        <is>
          <t>Puesto 1</t>
        </is>
      </c>
      <c r="N33" s="16" t="inlineStr">
        <is>
          <t>Sí</t>
        </is>
      </c>
      <c r="O33" s="16" t="inlineStr">
        <is>
          <t>Sí</t>
        </is>
      </c>
      <c r="P33" s="16" t="n">
        <v>39</v>
      </c>
      <c r="Q33" s="16" t="inlineStr">
        <is>
          <t>Sí</t>
        </is>
      </c>
      <c r="R33" s="16" t="inlineStr">
        <is>
          <t>Sí</t>
        </is>
      </c>
      <c r="S33" s="16" t="inlineStr">
        <is>
          <t>Sí</t>
        </is>
      </c>
      <c r="T33" s="16" t="inlineStr">
        <is>
          <t>finalizado</t>
        </is>
      </c>
      <c r="U33" s="16" t="inlineStr">
        <is>
          <t>2026-10-v2</t>
        </is>
      </c>
      <c r="V33" s="16" t="inlineStr">
        <is>
          <t>2026-09-24T15:00:00.000Z</t>
        </is>
      </c>
      <c r="W33" s="16" t="inlineStr">
        <is>
          <t>Argentina</t>
        </is>
      </c>
      <c r="Y33" s="16" t="inlineStr">
        <is>
          <t>Secundaria incompleta</t>
        </is>
      </c>
      <c r="Z33" s="16" t="inlineStr">
        <is>
          <t>Sí</t>
        </is>
      </c>
      <c r="AA33" s="16" t="inlineStr">
        <is>
          <t>5</t>
        </is>
      </c>
      <c r="AB33" s="16" t="inlineStr">
        <is>
          <t>5</t>
        </is>
      </c>
      <c r="AC33" s="16" t="inlineStr">
        <is>
          <t>Español; Portugués</t>
        </is>
      </c>
      <c r="AE33" s="16" t="inlineStr">
        <is>
          <t>Español</t>
        </is>
      </c>
      <c r="AG33" s="16" t="inlineStr">
        <is>
          <t>Argentina</t>
        </is>
      </c>
      <c r="AI33" s="16" t="inlineStr">
        <is>
          <t>Regular</t>
        </is>
      </c>
      <c r="AJ33" s="16" t="n">
        <v>37</v>
      </c>
      <c r="AK33" s="16" t="inlineStr">
        <is>
          <t>Viaje interprovincial</t>
        </is>
      </c>
      <c r="AL33" s="16" t="inlineStr">
        <is>
          <t>Una vez a la semana</t>
        </is>
      </c>
      <c r="AN33" s="16" t="inlineStr">
        <is>
          <t>Diariamente</t>
        </is>
      </c>
      <c r="AP33" s="16" t="inlineStr">
        <is>
          <t>Empleado</t>
        </is>
      </c>
      <c r="AR33" s="16" t="inlineStr">
        <is>
          <t>Disconforme</t>
        </is>
      </c>
      <c r="AS33" s="16" t="inlineStr">
        <is>
          <t>Sí</t>
        </is>
      </c>
      <c r="AT33" s="16" t="n">
        <v>2.7</v>
      </c>
      <c r="AU33" s="16" t="inlineStr">
        <is>
          <t>Sí</t>
        </is>
      </c>
      <c r="AV33" s="16" t="inlineStr">
        <is>
          <t>En el camión al costado de la ruta; Paradores</t>
        </is>
      </c>
      <c r="AX33" s="16" t="n">
        <v>7.9</v>
      </c>
      <c r="AY33" s="16" t="inlineStr">
        <is>
          <t>Casi nunca</t>
        </is>
      </c>
      <c r="AZ33" s="16" t="inlineStr">
        <is>
          <t>Agua; Café</t>
        </is>
      </c>
      <c r="BB33" s="16" t="inlineStr">
        <is>
          <t>A veces</t>
        </is>
      </c>
      <c r="BC33" s="16" t="inlineStr">
        <is>
          <t>Sí</t>
        </is>
      </c>
      <c r="BD33" s="16" t="inlineStr">
        <is>
          <t>No</t>
        </is>
      </c>
      <c r="BE33" s="16" t="inlineStr">
        <is>
          <t>Sí</t>
        </is>
      </c>
      <c r="BF33" s="16" t="inlineStr">
        <is>
          <t>Obra social</t>
        </is>
      </c>
      <c r="BG33" s="16" t="inlineStr">
        <is>
          <t>Ninguno</t>
        </is>
      </c>
      <c r="BH33" s="16" t="inlineStr">
        <is>
          <t>Solo cuando me siento mal</t>
        </is>
      </c>
      <c r="BI33" s="16" t="inlineStr">
        <is>
          <t>Sistema privado</t>
        </is>
      </c>
      <c r="BJ33" s="16" t="inlineStr">
        <is>
          <t>Sí</t>
        </is>
      </c>
      <c r="BK33" s="16" t="inlineStr">
        <is>
          <t>Cervical</t>
        </is>
      </c>
      <c r="BL33" s="16" t="inlineStr">
        <is>
          <t>Medicamentos; Hierbas</t>
        </is>
      </c>
      <c r="BM33" s="16" t="inlineStr">
        <is>
          <t>Ibuprofeno</t>
        </is>
      </c>
      <c r="BN33" s="16" t="inlineStr">
        <is>
          <t>Musculoesqueléticos; Digestivas</t>
        </is>
      </c>
      <c r="BP33" s="16" t="inlineStr">
        <is>
          <t>Nunca</t>
        </is>
      </c>
      <c r="BQ33" s="16" t="inlineStr">
        <is>
          <t>Energizantes (Speed, Monster, Red Bull, etc.)</t>
        </is>
      </c>
      <c r="BS33" s="16" t="inlineStr">
        <is>
          <t>No</t>
        </is>
      </c>
      <c r="BT33" s="16" t="inlineStr">
        <is>
          <t>Sí</t>
        </is>
      </c>
      <c r="BU33" s="16" t="inlineStr">
        <is>
          <t>A veces</t>
        </is>
      </c>
      <c r="BV33" s="16" t="inlineStr">
        <is>
          <t>Sí</t>
        </is>
      </c>
      <c r="BW33" s="16" t="inlineStr">
        <is>
          <t>No</t>
        </is>
      </c>
      <c r="BX33" s="16" t="inlineStr">
        <is>
          <t>Varón</t>
        </is>
      </c>
      <c r="BY33" s="16" t="n">
        <v>99.3</v>
      </c>
      <c r="BZ33" s="16" t="n">
        <v>1.67</v>
      </c>
      <c r="CA33" s="16" t="n">
        <v>35.6</v>
      </c>
      <c r="CB33" s="16" t="n">
        <v>113</v>
      </c>
      <c r="CC33" s="16" t="n">
        <v>149</v>
      </c>
      <c r="CD33" s="16" t="n">
        <v>94</v>
      </c>
      <c r="CE33" s="16" t="inlineStr">
        <is>
          <t>No</t>
        </is>
      </c>
      <c r="CF33" s="16" t="inlineStr">
        <is>
          <t>Sí</t>
        </is>
      </c>
      <c r="CG33" s="16" t="inlineStr">
        <is>
          <t>No</t>
        </is>
      </c>
      <c r="CH33" s="16" t="inlineStr">
        <is>
          <t>No</t>
        </is>
      </c>
      <c r="CI33" s="16" t="inlineStr">
        <is>
          <t>No</t>
        </is>
      </c>
      <c r="CJ33" s="16" t="inlineStr">
        <is>
          <t>No</t>
        </is>
      </c>
      <c r="CK33" s="16" t="inlineStr">
        <is>
          <t>No</t>
        </is>
      </c>
      <c r="CL33" s="16" t="inlineStr">
        <is>
          <t>Sí</t>
        </is>
      </c>
      <c r="CM33" s="16" t="inlineStr">
        <is>
          <t>07:32</t>
        </is>
      </c>
      <c r="CN33" s="16" t="inlineStr">
        <is>
          <t>Mate</t>
        </is>
      </c>
      <c r="CO33" s="16" t="inlineStr">
        <is>
          <t>13:30</t>
        </is>
      </c>
      <c r="CP33" s="16" t="n">
        <v>146</v>
      </c>
      <c r="CQ33" s="16" t="n">
        <v>358</v>
      </c>
      <c r="CR33" s="16" t="inlineStr">
        <is>
          <t>Sí</t>
        </is>
      </c>
      <c r="CS33" s="16" t="n">
        <v>13</v>
      </c>
      <c r="CT33" s="16" t="inlineStr">
        <is>
          <t>Moderado</t>
        </is>
      </c>
      <c r="CU33" s="16" t="inlineStr">
        <is>
          <t>17 %</t>
        </is>
      </c>
      <c r="CV33" s="16" t="inlineStr">
        <is>
          <t>Sí</t>
        </is>
      </c>
      <c r="CW33" s="16" t="n">
        <v>14</v>
      </c>
      <c r="CX33" s="16" t="inlineStr">
        <is>
          <t>16</t>
        </is>
      </c>
      <c r="CY33" s="16" t="inlineStr">
        <is>
          <t>Moderado</t>
        </is>
      </c>
    </row>
    <row r="34">
      <c r="A34" s="16" t="inlineStr">
        <is>
          <t>demo-33</t>
        </is>
      </c>
      <c r="B34" s="16" t="inlineStr">
        <is>
          <t>A1-0033</t>
        </is>
      </c>
      <c r="C34" s="16" t="inlineStr">
        <is>
          <t>033-26-4630</t>
        </is>
      </c>
      <c r="D34" s="16" t="n">
        <v>33</v>
      </c>
      <c r="E34" s="16" t="n">
        <v>26</v>
      </c>
      <c r="F34" s="16" t="inlineStr">
        <is>
          <t>4630</t>
        </is>
      </c>
      <c r="G34" s="17" t="n">
        <v>46290</v>
      </c>
      <c r="H34" s="16" t="inlineStr">
        <is>
          <t>15:08</t>
        </is>
      </c>
      <c r="J34" s="16" t="inlineStr">
        <is>
          <t>A</t>
        </is>
      </c>
      <c r="K34" s="16" t="inlineStr">
        <is>
          <t>1</t>
        </is>
      </c>
      <c r="L34" s="16" t="inlineStr">
        <is>
          <t>Encuestador A</t>
        </is>
      </c>
      <c r="M34" s="16" t="inlineStr">
        <is>
          <t>Puesto 2</t>
        </is>
      </c>
      <c r="N34" s="16" t="inlineStr">
        <is>
          <t>Sí</t>
        </is>
      </c>
      <c r="O34" s="16" t="inlineStr">
        <is>
          <t>Sí</t>
        </is>
      </c>
      <c r="P34" s="16" t="n">
        <v>38</v>
      </c>
      <c r="Q34" s="16" t="inlineStr">
        <is>
          <t>Sí</t>
        </is>
      </c>
      <c r="R34" s="16" t="inlineStr">
        <is>
          <t>Sí</t>
        </is>
      </c>
      <c r="S34" s="16" t="inlineStr">
        <is>
          <t>No</t>
        </is>
      </c>
      <c r="T34" s="16" t="inlineStr">
        <is>
          <t>finalizado</t>
        </is>
      </c>
      <c r="U34" s="16" t="inlineStr">
        <is>
          <t>2026-10-v2</t>
        </is>
      </c>
      <c r="V34" s="16" t="inlineStr">
        <is>
          <t>2026-09-25T15:00:00.000Z</t>
        </is>
      </c>
      <c r="W34" s="16" t="inlineStr">
        <is>
          <t>Argentina</t>
        </is>
      </c>
      <c r="Y34" s="16" t="inlineStr">
        <is>
          <t>Terciario incompleto</t>
        </is>
      </c>
      <c r="Z34" s="16" t="inlineStr">
        <is>
          <t>Sí</t>
        </is>
      </c>
      <c r="AA34" s="16" t="inlineStr">
        <is>
          <t>1</t>
        </is>
      </c>
      <c r="AB34" s="16" t="inlineStr">
        <is>
          <t>5</t>
        </is>
      </c>
      <c r="AC34" s="16" t="inlineStr">
        <is>
          <t>Guaraní</t>
        </is>
      </c>
      <c r="AE34" s="16" t="inlineStr">
        <is>
          <t>Español</t>
        </is>
      </c>
      <c r="AG34" s="16" t="inlineStr">
        <is>
          <t>Argentina</t>
        </is>
      </c>
      <c r="AI34" s="16" t="inlineStr">
        <is>
          <t>Regular</t>
        </is>
      </c>
      <c r="AJ34" s="16" t="n">
        <v>6</v>
      </c>
      <c r="AK34" s="16" t="inlineStr">
        <is>
          <t>Viaje internacional</t>
        </is>
      </c>
      <c r="AL34" s="16" t="inlineStr">
        <is>
          <t>Una vez a la semana</t>
        </is>
      </c>
      <c r="AN34" s="16" t="inlineStr">
        <is>
          <t>Una vez a la semana</t>
        </is>
      </c>
      <c r="AP34" s="16" t="inlineStr">
        <is>
          <t>Empleado</t>
        </is>
      </c>
      <c r="AR34" s="16" t="inlineStr">
        <is>
          <t>Disconforme</t>
        </is>
      </c>
      <c r="AS34" s="16" t="inlineStr">
        <is>
          <t>Sí</t>
        </is>
      </c>
      <c r="AT34" s="16" t="n">
        <v>2.9</v>
      </c>
      <c r="AU34" s="16" t="inlineStr">
        <is>
          <t>Sí</t>
        </is>
      </c>
      <c r="AV34" s="16" t="inlineStr">
        <is>
          <t>Paradores; En el camión al costado de la ruta</t>
        </is>
      </c>
      <c r="AX34" s="16" t="n">
        <v>7.8</v>
      </c>
      <c r="AY34" s="16" t="inlineStr">
        <is>
          <t>Casi nunca</t>
        </is>
      </c>
      <c r="AZ34" s="16" t="inlineStr">
        <is>
          <t>Café</t>
        </is>
      </c>
      <c r="BB34" s="16" t="inlineStr">
        <is>
          <t>Nunca</t>
        </is>
      </c>
      <c r="BC34" s="16" t="inlineStr">
        <is>
          <t>No</t>
        </is>
      </c>
      <c r="BD34" s="16" t="inlineStr">
        <is>
          <t>No</t>
        </is>
      </c>
      <c r="BE34" s="16" t="inlineStr">
        <is>
          <t>No</t>
        </is>
      </c>
      <c r="BF34" s="16" t="inlineStr">
        <is>
          <t>Seguro de salud</t>
        </is>
      </c>
      <c r="BG34" s="16" t="inlineStr">
        <is>
          <t>Ninguno</t>
        </is>
      </c>
      <c r="BH34" s="16" t="inlineStr">
        <is>
          <t>Nunca</t>
        </is>
      </c>
      <c r="BI34" s="16" t="inlineStr">
        <is>
          <t>Sistema público; Otros (medicina tradicional, alternativa, etc.)</t>
        </is>
      </c>
      <c r="BJ34" s="16" t="inlineStr">
        <is>
          <t>No</t>
        </is>
      </c>
      <c r="BL34" s="16" t="inlineStr">
        <is>
          <t>Ninguno</t>
        </is>
      </c>
      <c r="BN34" s="16" t="inlineStr">
        <is>
          <t>Musculoesqueléticos; Digestivas</t>
        </is>
      </c>
      <c r="BP34" s="16" t="inlineStr">
        <is>
          <t>Nunca</t>
        </is>
      </c>
      <c r="BQ34" s="16" t="inlineStr">
        <is>
          <t>No</t>
        </is>
      </c>
      <c r="BS34" s="16" t="inlineStr">
        <is>
          <t>No</t>
        </is>
      </c>
      <c r="BT34" s="16" t="inlineStr">
        <is>
          <t>No</t>
        </is>
      </c>
      <c r="BU34" s="16" t="inlineStr">
        <is>
          <t>A veces</t>
        </is>
      </c>
      <c r="BV34" s="16" t="inlineStr">
        <is>
          <t>No</t>
        </is>
      </c>
      <c r="BW34" s="16" t="inlineStr">
        <is>
          <t>No</t>
        </is>
      </c>
      <c r="BX34" s="16" t="inlineStr">
        <is>
          <t>Varón</t>
        </is>
      </c>
      <c r="BY34" s="16" t="n">
        <v>72.5</v>
      </c>
      <c r="BZ34" s="16" t="n">
        <v>1.68</v>
      </c>
      <c r="CA34" s="16" t="n">
        <v>25.7</v>
      </c>
      <c r="CB34" s="16" t="n">
        <v>104</v>
      </c>
      <c r="CC34" s="16" t="n">
        <v>152</v>
      </c>
      <c r="CD34" s="16" t="n">
        <v>96</v>
      </c>
      <c r="CE34" s="16" t="inlineStr">
        <is>
          <t>No</t>
        </is>
      </c>
      <c r="CF34" s="16" t="inlineStr">
        <is>
          <t>No</t>
        </is>
      </c>
      <c r="CG34" s="16" t="inlineStr">
        <is>
          <t>No</t>
        </is>
      </c>
      <c r="CH34" s="16" t="inlineStr">
        <is>
          <t>No</t>
        </is>
      </c>
      <c r="CI34" s="16" t="inlineStr">
        <is>
          <t>No</t>
        </is>
      </c>
      <c r="CJ34" s="16" t="inlineStr">
        <is>
          <t>No</t>
        </is>
      </c>
      <c r="CK34" s="16" t="inlineStr">
        <is>
          <t>No</t>
        </is>
      </c>
      <c r="CL34" s="16" t="inlineStr">
        <is>
          <t>No</t>
        </is>
      </c>
      <c r="CR34" s="16" t="inlineStr">
        <is>
          <t>Sí</t>
        </is>
      </c>
      <c r="CS34" s="16" t="n">
        <v>8</v>
      </c>
      <c r="CT34" s="16" t="inlineStr">
        <is>
          <t>Ligeramente elevado</t>
        </is>
      </c>
      <c r="CU34" s="16" t="inlineStr">
        <is>
          <t>4 %</t>
        </is>
      </c>
      <c r="CV34" s="16" t="inlineStr">
        <is>
          <t>Sí</t>
        </is>
      </c>
      <c r="CW34" s="16" t="n">
        <v>-7</v>
      </c>
      <c r="CX34" s="16" t="inlineStr">
        <is>
          <t>&lt;1</t>
        </is>
      </c>
      <c r="CY34" s="16" t="inlineStr">
        <is>
          <t>Bajo</t>
        </is>
      </c>
    </row>
    <row r="35">
      <c r="A35" s="16" t="inlineStr">
        <is>
          <t>demo-34</t>
        </is>
      </c>
      <c r="B35" s="16" t="inlineStr">
        <is>
          <t>A1-0034</t>
        </is>
      </c>
      <c r="C35" s="16" t="inlineStr">
        <is>
          <t>034-37-4400</t>
        </is>
      </c>
      <c r="D35" s="16" t="n">
        <v>34</v>
      </c>
      <c r="E35" s="16" t="n">
        <v>37</v>
      </c>
      <c r="F35" s="16" t="inlineStr">
        <is>
          <t>4400</t>
        </is>
      </c>
      <c r="G35" s="17" t="n">
        <v>46290</v>
      </c>
      <c r="H35" s="16" t="inlineStr">
        <is>
          <t>14:01</t>
        </is>
      </c>
      <c r="J35" s="16" t="inlineStr">
        <is>
          <t>A</t>
        </is>
      </c>
      <c r="K35" s="16" t="inlineStr">
        <is>
          <t>1</t>
        </is>
      </c>
      <c r="L35" s="16" t="inlineStr">
        <is>
          <t>Encuestador A</t>
        </is>
      </c>
      <c r="M35" s="16" t="inlineStr">
        <is>
          <t>Puesto 1</t>
        </is>
      </c>
      <c r="N35" s="16" t="inlineStr">
        <is>
          <t>Sí</t>
        </is>
      </c>
      <c r="O35" s="16" t="inlineStr">
        <is>
          <t>Sí</t>
        </is>
      </c>
      <c r="P35" s="16" t="n">
        <v>38</v>
      </c>
      <c r="Q35" s="16" t="inlineStr">
        <is>
          <t>Sí</t>
        </is>
      </c>
      <c r="R35" s="16" t="inlineStr">
        <is>
          <t>Sí</t>
        </is>
      </c>
      <c r="S35" s="16" t="inlineStr">
        <is>
          <t>Sí</t>
        </is>
      </c>
      <c r="T35" s="16" t="inlineStr">
        <is>
          <t>finalizado</t>
        </is>
      </c>
      <c r="U35" s="16" t="inlineStr">
        <is>
          <t>2026-10-v2</t>
        </is>
      </c>
      <c r="V35" s="16" t="inlineStr">
        <is>
          <t>2026-09-25T15:00:00.000Z</t>
        </is>
      </c>
      <c r="W35" s="16" t="inlineStr">
        <is>
          <t>Argentina</t>
        </is>
      </c>
      <c r="Y35" s="16" t="inlineStr">
        <is>
          <t>Secundaria completa</t>
        </is>
      </c>
      <c r="Z35" s="16" t="inlineStr">
        <is>
          <t>Sí</t>
        </is>
      </c>
      <c r="AA35" s="16" t="inlineStr">
        <is>
          <t>4</t>
        </is>
      </c>
      <c r="AB35" s="16" t="inlineStr">
        <is>
          <t>5</t>
        </is>
      </c>
      <c r="AC35" s="16" t="inlineStr">
        <is>
          <t>Portugués</t>
        </is>
      </c>
      <c r="AE35" s="16" t="inlineStr">
        <is>
          <t>Español</t>
        </is>
      </c>
      <c r="AG35" s="16" t="inlineStr">
        <is>
          <t>Argentina</t>
        </is>
      </c>
      <c r="AI35" s="16" t="inlineStr">
        <is>
          <t>Muy malo</t>
        </is>
      </c>
      <c r="AJ35" s="16" t="n">
        <v>15</v>
      </c>
      <c r="AK35" s="16" t="inlineStr">
        <is>
          <t>Viaje provincial (Jujuy)</t>
        </is>
      </c>
      <c r="AL35" s="16" t="inlineStr">
        <is>
          <t>Una vez a la semana</t>
        </is>
      </c>
      <c r="AN35" s="16" t="inlineStr">
        <is>
          <t>Diariamente</t>
        </is>
      </c>
      <c r="AP35" s="16" t="inlineStr">
        <is>
          <t>Dueño del camión</t>
        </is>
      </c>
      <c r="AR35" s="16" t="inlineStr">
        <is>
          <t>Disconforme</t>
        </is>
      </c>
      <c r="AS35" s="16" t="inlineStr">
        <is>
          <t>Sí</t>
        </is>
      </c>
      <c r="AT35" s="16" t="n">
        <v>8.300000000000001</v>
      </c>
      <c r="AU35" s="16" t="inlineStr">
        <is>
          <t>No</t>
        </is>
      </c>
      <c r="AV35" s="16" t="inlineStr">
        <is>
          <t>En el camión al costado de la ruta</t>
        </is>
      </c>
      <c r="AX35" s="16" t="n">
        <v>5.6</v>
      </c>
      <c r="AY35" s="16" t="inlineStr">
        <is>
          <t>Varias veces por semana</t>
        </is>
      </c>
      <c r="AZ35" s="16" t="inlineStr">
        <is>
          <t>Gaseosas; Mate</t>
        </is>
      </c>
      <c r="BB35" s="16" t="inlineStr">
        <is>
          <t>Nunca</t>
        </is>
      </c>
      <c r="BC35" s="16" t="inlineStr">
        <is>
          <t>No</t>
        </is>
      </c>
      <c r="BD35" s="16" t="inlineStr">
        <is>
          <t>No</t>
        </is>
      </c>
      <c r="BE35" s="16" t="inlineStr">
        <is>
          <t>Parcialmente</t>
        </is>
      </c>
      <c r="BF35" s="16" t="inlineStr">
        <is>
          <t>Obra social</t>
        </is>
      </c>
      <c r="BG35" s="16" t="inlineStr">
        <is>
          <t>Ninguno</t>
        </is>
      </c>
      <c r="BH35" s="16" t="inlineStr">
        <is>
          <t>Una vez al año</t>
        </is>
      </c>
      <c r="BI35" s="16" t="inlineStr">
        <is>
          <t>Sistema público; Otros (medicina tradicional, alternativa, etc.)</t>
        </is>
      </c>
      <c r="BJ35" s="16" t="inlineStr">
        <is>
          <t>Sí</t>
        </is>
      </c>
      <c r="BK35" s="16" t="inlineStr">
        <is>
          <t>Cervical</t>
        </is>
      </c>
      <c r="BL35" s="16" t="inlineStr">
        <is>
          <t>Ninguno</t>
        </is>
      </c>
      <c r="BN35" s="16" t="inlineStr">
        <is>
          <t>Musculoesqueléticos</t>
        </is>
      </c>
      <c r="BP35" s="16" t="inlineStr">
        <is>
          <t>Rara vez</t>
        </is>
      </c>
      <c r="BQ35" s="16" t="inlineStr">
        <is>
          <t>Yerba mate</t>
        </is>
      </c>
      <c r="BS35" s="16" t="inlineStr">
        <is>
          <t>No</t>
        </is>
      </c>
      <c r="BT35" s="16" t="inlineStr">
        <is>
          <t>Sí</t>
        </is>
      </c>
      <c r="BU35" s="16" t="inlineStr">
        <is>
          <t>Siempre</t>
        </is>
      </c>
      <c r="BV35" s="16" t="inlineStr">
        <is>
          <t>No</t>
        </is>
      </c>
      <c r="BW35" s="16" t="inlineStr">
        <is>
          <t>No</t>
        </is>
      </c>
      <c r="BX35" s="16" t="inlineStr">
        <is>
          <t>Varón</t>
        </is>
      </c>
      <c r="BY35" s="16" t="n">
        <v>69.90000000000001</v>
      </c>
      <c r="BZ35" s="16" t="n">
        <v>1.74</v>
      </c>
      <c r="CA35" s="16" t="n">
        <v>23.1</v>
      </c>
      <c r="CB35" s="16" t="n">
        <v>91</v>
      </c>
      <c r="CC35" s="16" t="n">
        <v>164</v>
      </c>
      <c r="CD35" s="16" t="n">
        <v>104</v>
      </c>
      <c r="CE35" s="16" t="inlineStr">
        <is>
          <t>No</t>
        </is>
      </c>
      <c r="CF35" s="16" t="inlineStr">
        <is>
          <t>Sí</t>
        </is>
      </c>
      <c r="CG35" s="16" t="inlineStr">
        <is>
          <t>No</t>
        </is>
      </c>
      <c r="CH35" s="16" t="inlineStr">
        <is>
          <t>Sí</t>
        </is>
      </c>
      <c r="CI35" s="16" t="inlineStr">
        <is>
          <t>No</t>
        </is>
      </c>
      <c r="CJ35" s="16" t="inlineStr">
        <is>
          <t>No</t>
        </is>
      </c>
      <c r="CK35" s="16" t="inlineStr">
        <is>
          <t>Sí</t>
        </is>
      </c>
      <c r="CL35" s="16" t="inlineStr">
        <is>
          <t>Sí</t>
        </is>
      </c>
      <c r="CM35" s="16" t="inlineStr">
        <is>
          <t>07:47</t>
        </is>
      </c>
      <c r="CN35" s="16" t="inlineStr">
        <is>
          <t>Mate</t>
        </is>
      </c>
      <c r="CO35" s="16" t="inlineStr">
        <is>
          <t>14:30</t>
        </is>
      </c>
      <c r="CP35" s="16" t="n">
        <v>172</v>
      </c>
      <c r="CQ35" s="16" t="n">
        <v>403</v>
      </c>
      <c r="CR35" s="16" t="inlineStr">
        <is>
          <t>Sí</t>
        </is>
      </c>
      <c r="CS35" s="16" t="n">
        <v>4</v>
      </c>
      <c r="CT35" s="16" t="inlineStr">
        <is>
          <t>Bajo</t>
        </is>
      </c>
      <c r="CU35" s="16" t="inlineStr">
        <is>
          <t>1 %</t>
        </is>
      </c>
      <c r="CV35" s="16" t="inlineStr">
        <is>
          <t>Sí</t>
        </is>
      </c>
      <c r="CW35" s="16" t="n">
        <v>7</v>
      </c>
      <c r="CX35" s="16" t="inlineStr">
        <is>
          <t>3</t>
        </is>
      </c>
      <c r="CY35" s="16" t="inlineStr">
        <is>
          <t>Bajo</t>
        </is>
      </c>
    </row>
    <row r="36">
      <c r="A36" s="16" t="inlineStr">
        <is>
          <t>demo-35</t>
        </is>
      </c>
      <c r="B36" s="16" t="inlineStr">
        <is>
          <t>B1-0035</t>
        </is>
      </c>
      <c r="C36" s="16" t="inlineStr">
        <is>
          <t>234-60-4630</t>
        </is>
      </c>
      <c r="D36" s="16" t="n">
        <v>234</v>
      </c>
      <c r="E36" s="16" t="n">
        <v>60</v>
      </c>
      <c r="F36" s="16" t="inlineStr">
        <is>
          <t>4630</t>
        </is>
      </c>
      <c r="G36" s="17" t="n">
        <v>46291</v>
      </c>
      <c r="H36" s="16" t="inlineStr">
        <is>
          <t>15:00</t>
        </is>
      </c>
      <c r="J36" s="16" t="inlineStr">
        <is>
          <t>B</t>
        </is>
      </c>
      <c r="K36" s="16" t="inlineStr">
        <is>
          <t>1</t>
        </is>
      </c>
      <c r="L36" s="16" t="inlineStr">
        <is>
          <t>Encuestador B</t>
        </is>
      </c>
      <c r="M36" s="16" t="inlineStr">
        <is>
          <t>Puesto 2</t>
        </is>
      </c>
      <c r="N36" s="16" t="inlineStr">
        <is>
          <t>Sí</t>
        </is>
      </c>
      <c r="O36" s="16" t="inlineStr">
        <is>
          <t>Sí</t>
        </is>
      </c>
      <c r="P36" s="16" t="n">
        <v>38</v>
      </c>
      <c r="Q36" s="16" t="inlineStr">
        <is>
          <t>Sí</t>
        </is>
      </c>
      <c r="R36" s="16" t="inlineStr">
        <is>
          <t>Sí</t>
        </is>
      </c>
      <c r="S36" s="16" t="inlineStr">
        <is>
          <t>Sí</t>
        </is>
      </c>
      <c r="T36" s="16" t="inlineStr">
        <is>
          <t>finalizado</t>
        </is>
      </c>
      <c r="U36" s="16" t="inlineStr">
        <is>
          <t>2026-10-v2</t>
        </is>
      </c>
      <c r="V36" s="16" t="inlineStr">
        <is>
          <t>2026-09-26T15:00:00.000Z</t>
        </is>
      </c>
      <c r="W36" s="16" t="inlineStr">
        <is>
          <t>Brasil</t>
        </is>
      </c>
      <c r="Y36" s="16" t="inlineStr">
        <is>
          <t>Primaria completa</t>
        </is>
      </c>
      <c r="Z36" s="16" t="inlineStr">
        <is>
          <t>Sí</t>
        </is>
      </c>
      <c r="AA36" s="16" t="inlineStr">
        <is>
          <t>2</t>
        </is>
      </c>
      <c r="AB36" s="16" t="inlineStr">
        <is>
          <t>5</t>
        </is>
      </c>
      <c r="AC36" s="16" t="inlineStr">
        <is>
          <t>Español</t>
        </is>
      </c>
      <c r="AE36" s="16" t="inlineStr">
        <is>
          <t>Español</t>
        </is>
      </c>
      <c r="AG36" s="16" t="inlineStr">
        <is>
          <t>Argentina</t>
        </is>
      </c>
      <c r="AI36" s="16" t="inlineStr">
        <is>
          <t>Bueno</t>
        </is>
      </c>
      <c r="AJ36" s="16" t="n">
        <v>32</v>
      </c>
      <c r="AK36" s="16" t="inlineStr">
        <is>
          <t>Viaje interprovincial</t>
        </is>
      </c>
      <c r="AL36" s="16" t="inlineStr">
        <is>
          <t>Quincenalmente</t>
        </is>
      </c>
      <c r="AN36" s="16" t="inlineStr">
        <is>
          <t>2 veces por semana</t>
        </is>
      </c>
      <c r="AP36" s="16" t="inlineStr">
        <is>
          <t>Empleado</t>
        </is>
      </c>
      <c r="AR36" s="16" t="inlineStr">
        <is>
          <t>Conforme</t>
        </is>
      </c>
      <c r="AS36" s="16" t="inlineStr">
        <is>
          <t>Sí</t>
        </is>
      </c>
      <c r="AT36" s="16" t="n">
        <v>2.9</v>
      </c>
      <c r="AU36" s="16" t="inlineStr">
        <is>
          <t>Sí</t>
        </is>
      </c>
      <c r="AV36" s="16" t="inlineStr">
        <is>
          <t>En el camión al costado de la ruta</t>
        </is>
      </c>
      <c r="AX36" s="16" t="n">
        <v>4.7</v>
      </c>
      <c r="AY36" s="16" t="inlineStr">
        <is>
          <t>Todos los días</t>
        </is>
      </c>
      <c r="AZ36" s="16" t="inlineStr">
        <is>
          <t>Agua; Café</t>
        </is>
      </c>
      <c r="BB36" s="16" t="inlineStr">
        <is>
          <t>Sí, siempre</t>
        </is>
      </c>
      <c r="BC36" s="16" t="inlineStr">
        <is>
          <t>Algunas veces</t>
        </is>
      </c>
      <c r="BD36" s="16" t="inlineStr">
        <is>
          <t>No</t>
        </is>
      </c>
      <c r="BE36" s="16" t="inlineStr">
        <is>
          <t>No</t>
        </is>
      </c>
      <c r="BF36" s="16" t="inlineStr">
        <is>
          <t>Ninguna</t>
        </is>
      </c>
      <c r="BG36" s="16" t="inlineStr">
        <is>
          <t>Sistema público</t>
        </is>
      </c>
      <c r="BH36" s="16" t="inlineStr">
        <is>
          <t>Una vez al año</t>
        </is>
      </c>
      <c r="BI36" s="16" t="inlineStr">
        <is>
          <t>Sistema público; Otros (medicina tradicional, alternativa, etc.)</t>
        </is>
      </c>
      <c r="BJ36" s="16" t="inlineStr">
        <is>
          <t>Sí</t>
        </is>
      </c>
      <c r="BK36" s="16" t="inlineStr">
        <is>
          <t>Lumbar</t>
        </is>
      </c>
      <c r="BL36" s="16" t="inlineStr">
        <is>
          <t>Ninguno</t>
        </is>
      </c>
      <c r="BN36" s="16" t="inlineStr">
        <is>
          <t>Musculoesqueléticos; Digestivas</t>
        </is>
      </c>
      <c r="BP36" s="16" t="inlineStr">
        <is>
          <t>2 a 3 veces por semana</t>
        </is>
      </c>
      <c r="BQ36" s="16" t="inlineStr">
        <is>
          <t>No</t>
        </is>
      </c>
      <c r="BS36" s="16" t="inlineStr">
        <is>
          <t>Sí</t>
        </is>
      </c>
      <c r="BT36" s="16" t="inlineStr">
        <is>
          <t>Sí</t>
        </is>
      </c>
      <c r="BU36" s="16" t="inlineStr">
        <is>
          <t>A veces</t>
        </is>
      </c>
      <c r="BV36" s="16" t="inlineStr">
        <is>
          <t>Sí</t>
        </is>
      </c>
      <c r="BW36" s="16" t="inlineStr">
        <is>
          <t>No</t>
        </is>
      </c>
      <c r="BX36" s="16" t="inlineStr">
        <is>
          <t>Varón</t>
        </is>
      </c>
      <c r="BY36" s="16" t="n">
        <v>78.3</v>
      </c>
      <c r="BZ36" s="16" t="n">
        <v>1.66</v>
      </c>
      <c r="CA36" s="16" t="n">
        <v>28.4</v>
      </c>
      <c r="CB36" s="16" t="n">
        <v>97</v>
      </c>
      <c r="CC36" s="16" t="n">
        <v>154</v>
      </c>
      <c r="CD36" s="16" t="n">
        <v>97</v>
      </c>
      <c r="CE36" s="16" t="inlineStr">
        <is>
          <t>Sí</t>
        </is>
      </c>
      <c r="CF36" s="16" t="inlineStr">
        <is>
          <t>No</t>
        </is>
      </c>
      <c r="CG36" s="16" t="inlineStr">
        <is>
          <t>No</t>
        </is>
      </c>
      <c r="CH36" s="16" t="inlineStr">
        <is>
          <t>No</t>
        </is>
      </c>
      <c r="CI36" s="16" t="inlineStr">
        <is>
          <t>Sí</t>
        </is>
      </c>
      <c r="CJ36" s="16" t="inlineStr">
        <is>
          <t>No</t>
        </is>
      </c>
      <c r="CK36" s="16" t="inlineStr">
        <is>
          <t>No</t>
        </is>
      </c>
      <c r="CL36" s="16" t="inlineStr">
        <is>
          <t>Sí</t>
        </is>
      </c>
      <c r="CM36" s="16" t="inlineStr">
        <is>
          <t>07:23</t>
        </is>
      </c>
      <c r="CN36" s="16" t="inlineStr">
        <is>
          <t>Mate</t>
        </is>
      </c>
      <c r="CO36" s="16" t="inlineStr">
        <is>
          <t>13:30</t>
        </is>
      </c>
      <c r="CP36" s="16" t="n">
        <v>106</v>
      </c>
      <c r="CQ36" s="16" t="n">
        <v>367</v>
      </c>
      <c r="CR36" s="16" t="inlineStr">
        <is>
          <t>Sí</t>
        </is>
      </c>
      <c r="CS36" s="16" t="n">
        <v>13</v>
      </c>
      <c r="CT36" s="16" t="inlineStr">
        <is>
          <t>Moderado</t>
        </is>
      </c>
      <c r="CU36" s="16" t="inlineStr">
        <is>
          <t>17 %</t>
        </is>
      </c>
      <c r="CV36" s="16" t="inlineStr">
        <is>
          <t>Sí</t>
        </is>
      </c>
      <c r="CW36" s="16" t="n">
        <v>12</v>
      </c>
      <c r="CX36" s="16" t="inlineStr">
        <is>
          <t>10</t>
        </is>
      </c>
      <c r="CY36" s="16" t="inlineStr">
        <is>
          <t>Moderado</t>
        </is>
      </c>
    </row>
    <row r="37">
      <c r="A37" s="16" t="inlineStr">
        <is>
          <t>demo-36</t>
        </is>
      </c>
      <c r="B37" s="16" t="inlineStr">
        <is>
          <t>B1-0036</t>
        </is>
      </c>
      <c r="C37" s="16" t="inlineStr">
        <is>
          <t>235-51-4630</t>
        </is>
      </c>
      <c r="D37" s="16" t="n">
        <v>235</v>
      </c>
      <c r="E37" s="16" t="n">
        <v>51</v>
      </c>
      <c r="F37" s="16" t="inlineStr">
        <is>
          <t>4630</t>
        </is>
      </c>
      <c r="G37" s="17" t="n">
        <v>46296</v>
      </c>
      <c r="H37" s="16" t="inlineStr">
        <is>
          <t>15:03</t>
        </is>
      </c>
      <c r="J37" s="16" t="inlineStr">
        <is>
          <t>B</t>
        </is>
      </c>
      <c r="K37" s="16" t="inlineStr">
        <is>
          <t>1</t>
        </is>
      </c>
      <c r="L37" s="16" t="inlineStr">
        <is>
          <t>Encuestador B</t>
        </is>
      </c>
      <c r="M37" s="16" t="inlineStr">
        <is>
          <t>Puesto 1</t>
        </is>
      </c>
      <c r="N37" s="16" t="inlineStr">
        <is>
          <t>Sí</t>
        </is>
      </c>
      <c r="O37" s="16" t="inlineStr">
        <is>
          <t>Sí</t>
        </is>
      </c>
      <c r="P37" s="16" t="n">
        <v>38</v>
      </c>
      <c r="Q37" s="16" t="inlineStr">
        <is>
          <t>Sí</t>
        </is>
      </c>
      <c r="R37" s="16" t="inlineStr">
        <is>
          <t>Sí</t>
        </is>
      </c>
      <c r="S37" s="16" t="inlineStr">
        <is>
          <t>Sí</t>
        </is>
      </c>
      <c r="T37" s="16" t="inlineStr">
        <is>
          <t>finalizado</t>
        </is>
      </c>
      <c r="U37" s="16" t="inlineStr">
        <is>
          <t>2026-10-v2</t>
        </is>
      </c>
      <c r="V37" s="16" t="inlineStr">
        <is>
          <t>2026-10-01T15:00:00.000Z</t>
        </is>
      </c>
      <c r="W37" s="16" t="inlineStr">
        <is>
          <t>Argentina</t>
        </is>
      </c>
      <c r="Y37" s="16" t="inlineStr">
        <is>
          <t>Universitario completo</t>
        </is>
      </c>
      <c r="Z37" s="16" t="inlineStr">
        <is>
          <t>Sí</t>
        </is>
      </c>
      <c r="AA37" s="16" t="inlineStr">
        <is>
          <t>3</t>
        </is>
      </c>
      <c r="AB37" s="16" t="inlineStr">
        <is>
          <t>3</t>
        </is>
      </c>
      <c r="AC37" s="16" t="inlineStr">
        <is>
          <t>Guaraní</t>
        </is>
      </c>
      <c r="AE37" s="16" t="inlineStr">
        <is>
          <t>Español</t>
        </is>
      </c>
      <c r="AG37" s="16" t="inlineStr">
        <is>
          <t>Argentina</t>
        </is>
      </c>
      <c r="AI37" s="16" t="inlineStr">
        <is>
          <t>Malo</t>
        </is>
      </c>
      <c r="AJ37" s="16" t="n">
        <v>25</v>
      </c>
      <c r="AK37" s="16" t="inlineStr">
        <is>
          <t>Viaje interprovincial</t>
        </is>
      </c>
      <c r="AL37" s="16" t="inlineStr">
        <is>
          <t>2 veces por semana</t>
        </is>
      </c>
      <c r="AN37" s="16" t="inlineStr">
        <is>
          <t>3 veces por semana</t>
        </is>
      </c>
      <c r="AP37" s="16" t="inlineStr">
        <is>
          <t>Dueño del camión</t>
        </is>
      </c>
      <c r="AR37" s="16" t="inlineStr">
        <is>
          <t>Disconforme</t>
        </is>
      </c>
      <c r="AS37" s="16" t="inlineStr">
        <is>
          <t>No</t>
        </is>
      </c>
      <c r="AT37" s="16" t="n">
        <v>3.5</v>
      </c>
      <c r="AU37" s="16" t="inlineStr">
        <is>
          <t>Sí</t>
        </is>
      </c>
      <c r="AV37" s="16" t="inlineStr">
        <is>
          <t>Estaciones de servicio</t>
        </is>
      </c>
      <c r="AX37" s="16" t="n">
        <v>6.6</v>
      </c>
      <c r="AY37" s="16" t="inlineStr">
        <is>
          <t>Todos los días</t>
        </is>
      </c>
      <c r="AZ37" s="16" t="inlineStr">
        <is>
          <t>Mate</t>
        </is>
      </c>
      <c r="BB37" s="16" t="inlineStr">
        <is>
          <t>Sí, siempre</t>
        </is>
      </c>
      <c r="BC37" s="16" t="inlineStr">
        <is>
          <t>Sí</t>
        </is>
      </c>
      <c r="BD37" s="16" t="inlineStr">
        <is>
          <t>No</t>
        </is>
      </c>
      <c r="BE37" s="16" t="inlineStr">
        <is>
          <t>Parcialmente</t>
        </is>
      </c>
      <c r="BF37" s="16" t="inlineStr">
        <is>
          <t>Seguro de salud</t>
        </is>
      </c>
      <c r="BG37" s="16" t="inlineStr">
        <is>
          <t>Sistema público</t>
        </is>
      </c>
      <c r="BH37" s="16" t="inlineStr">
        <is>
          <t>2 veces al año</t>
        </is>
      </c>
      <c r="BI37" s="16" t="inlineStr">
        <is>
          <t>Sistema público</t>
        </is>
      </c>
      <c r="BJ37" s="16" t="inlineStr">
        <is>
          <t>Sí</t>
        </is>
      </c>
      <c r="BK37" s="16" t="inlineStr">
        <is>
          <t>Rodillas</t>
        </is>
      </c>
      <c r="BL37" s="16" t="inlineStr">
        <is>
          <t>Ninguno</t>
        </is>
      </c>
      <c r="BN37" s="16" t="inlineStr">
        <is>
          <t>Musculoesqueléticos; Digestivas</t>
        </is>
      </c>
      <c r="BP37" s="16" t="inlineStr">
        <is>
          <t>Nunca</t>
        </is>
      </c>
      <c r="BQ37" s="16" t="inlineStr">
        <is>
          <t>Café; Coca-Cola</t>
        </is>
      </c>
      <c r="BS37" s="16" t="inlineStr">
        <is>
          <t>Sí</t>
        </is>
      </c>
      <c r="BT37" s="16" t="inlineStr">
        <is>
          <t>No</t>
        </is>
      </c>
      <c r="BU37" s="16" t="inlineStr">
        <is>
          <t>Nunca</t>
        </is>
      </c>
      <c r="BV37" s="16" t="inlineStr">
        <is>
          <t>Sí</t>
        </is>
      </c>
      <c r="BW37" s="16" t="inlineStr">
        <is>
          <t>No</t>
        </is>
      </c>
      <c r="BX37" s="16" t="inlineStr">
        <is>
          <t>Varón</t>
        </is>
      </c>
      <c r="BY37" s="16" t="n">
        <v>79.7</v>
      </c>
      <c r="BZ37" s="16" t="n">
        <v>1.8</v>
      </c>
      <c r="CA37" s="16" t="n">
        <v>24.6</v>
      </c>
      <c r="CB37" s="16" t="n">
        <v>84</v>
      </c>
      <c r="CC37" s="16" t="n">
        <v>162</v>
      </c>
      <c r="CD37" s="16" t="n">
        <v>102</v>
      </c>
      <c r="CE37" s="16" t="inlineStr">
        <is>
          <t>No</t>
        </is>
      </c>
      <c r="CF37" s="16" t="inlineStr">
        <is>
          <t>Sí</t>
        </is>
      </c>
      <c r="CG37" s="16" t="inlineStr">
        <is>
          <t>No</t>
        </is>
      </c>
      <c r="CH37" s="16" t="inlineStr">
        <is>
          <t>No</t>
        </is>
      </c>
      <c r="CI37" s="16" t="inlineStr">
        <is>
          <t>No</t>
        </is>
      </c>
      <c r="CJ37" s="16" t="inlineStr">
        <is>
          <t>Sí, parientes lejanos</t>
        </is>
      </c>
      <c r="CK37" s="16" t="inlineStr">
        <is>
          <t>No</t>
        </is>
      </c>
      <c r="CL37" s="16" t="inlineStr">
        <is>
          <t>Sí</t>
        </is>
      </c>
      <c r="CM37" s="16" t="inlineStr">
        <is>
          <t>07:13</t>
        </is>
      </c>
      <c r="CN37" s="16" t="inlineStr">
        <is>
          <t>Mate</t>
        </is>
      </c>
      <c r="CO37" s="16" t="inlineStr">
        <is>
          <t>13:30</t>
        </is>
      </c>
      <c r="CP37" s="16" t="n">
        <v>79</v>
      </c>
      <c r="CQ37" s="16" t="n">
        <v>377</v>
      </c>
      <c r="CR37" s="16" t="inlineStr">
        <is>
          <t>Sí</t>
        </is>
      </c>
      <c r="CS37" s="16" t="n">
        <v>7</v>
      </c>
      <c r="CT37" s="16" t="inlineStr">
        <is>
          <t>Ligeramente elevado</t>
        </is>
      </c>
      <c r="CU37" s="16" t="inlineStr">
        <is>
          <t>4 %</t>
        </is>
      </c>
      <c r="CV37" s="16" t="inlineStr">
        <is>
          <t>Sí</t>
        </is>
      </c>
      <c r="CW37" s="16" t="n">
        <v>8</v>
      </c>
      <c r="CX37" s="16" t="inlineStr">
        <is>
          <t>4</t>
        </is>
      </c>
      <c r="CY37" s="16" t="inlineStr">
        <is>
          <t>Bajo</t>
        </is>
      </c>
    </row>
    <row r="38">
      <c r="A38" s="16" t="inlineStr">
        <is>
          <t>demo-37</t>
        </is>
      </c>
      <c r="B38" s="16" t="inlineStr">
        <is>
          <t>C1-0037</t>
        </is>
      </c>
      <c r="C38" s="16" t="inlineStr">
        <is>
          <t>436-30-4630</t>
        </is>
      </c>
      <c r="D38" s="16" t="n">
        <v>436</v>
      </c>
      <c r="E38" s="16" t="n">
        <v>30</v>
      </c>
      <c r="F38" s="16" t="inlineStr">
        <is>
          <t>4630</t>
        </is>
      </c>
      <c r="G38" s="17" t="n">
        <v>46302</v>
      </c>
      <c r="H38" s="16" t="inlineStr">
        <is>
          <t>12:09</t>
        </is>
      </c>
      <c r="J38" s="16" t="inlineStr">
        <is>
          <t>C</t>
        </is>
      </c>
      <c r="K38" s="16" t="inlineStr">
        <is>
          <t>1</t>
        </is>
      </c>
      <c r="L38" s="16" t="inlineStr">
        <is>
          <t>Encuestador C</t>
        </is>
      </c>
      <c r="M38" s="16" t="inlineStr">
        <is>
          <t>Puesto 2</t>
        </is>
      </c>
      <c r="N38" s="16" t="inlineStr">
        <is>
          <t>Sí</t>
        </is>
      </c>
      <c r="O38" s="16" t="inlineStr">
        <is>
          <t>No</t>
        </is>
      </c>
      <c r="P38" s="16" t="n">
        <v>38</v>
      </c>
      <c r="Q38" s="16" t="inlineStr">
        <is>
          <t>Sí</t>
        </is>
      </c>
      <c r="R38" s="16" t="inlineStr">
        <is>
          <t>Sí</t>
        </is>
      </c>
      <c r="S38" s="16" t="inlineStr">
        <is>
          <t>Sí</t>
        </is>
      </c>
      <c r="T38" s="16" t="inlineStr">
        <is>
          <t>finalizado</t>
        </is>
      </c>
      <c r="U38" s="16" t="inlineStr">
        <is>
          <t>2026-10-v2</t>
        </is>
      </c>
      <c r="V38" s="16" t="inlineStr">
        <is>
          <t>2026-10-07T15:00:00.000Z</t>
        </is>
      </c>
      <c r="W38" s="16" t="inlineStr">
        <is>
          <t>Argentina</t>
        </is>
      </c>
      <c r="Y38" s="16" t="inlineStr">
        <is>
          <t>Secundaria incompleta</t>
        </is>
      </c>
      <c r="Z38" s="16" t="inlineStr">
        <is>
          <t>Sí</t>
        </is>
      </c>
      <c r="AA38" s="16" t="inlineStr">
        <is>
          <t>1</t>
        </is>
      </c>
      <c r="AB38" s="16" t="inlineStr">
        <is>
          <t>4</t>
        </is>
      </c>
      <c r="AC38" s="16" t="inlineStr">
        <is>
          <t>Portugués</t>
        </is>
      </c>
      <c r="AE38" s="16" t="inlineStr">
        <is>
          <t>Español</t>
        </is>
      </c>
      <c r="AG38" s="16" t="inlineStr">
        <is>
          <t>Argentina</t>
        </is>
      </c>
      <c r="AI38" s="16" t="inlineStr">
        <is>
          <t>Regular</t>
        </is>
      </c>
      <c r="AJ38" s="16" t="n">
        <v>1</v>
      </c>
      <c r="AK38" s="16" t="inlineStr">
        <is>
          <t>Viaje internacional</t>
        </is>
      </c>
      <c r="AL38" s="16" t="inlineStr">
        <is>
          <t>Una vez al mes</t>
        </is>
      </c>
      <c r="AN38" s="16" t="inlineStr">
        <is>
          <t>3 veces por semana</t>
        </is>
      </c>
      <c r="AP38" s="16" t="inlineStr">
        <is>
          <t>Empleado</t>
        </is>
      </c>
      <c r="AR38" s="16" t="inlineStr">
        <is>
          <t>Parcialmente conforme</t>
        </is>
      </c>
      <c r="AS38" s="16" t="inlineStr">
        <is>
          <t>Sí</t>
        </is>
      </c>
      <c r="AT38" s="16" t="n">
        <v>7.4</v>
      </c>
      <c r="AU38" s="16" t="inlineStr">
        <is>
          <t>Sí</t>
        </is>
      </c>
      <c r="AV38" s="16" t="inlineStr">
        <is>
          <t>Estaciones de servicio</t>
        </is>
      </c>
      <c r="AX38" s="16" t="n">
        <v>4.7</v>
      </c>
      <c r="AY38" s="16" t="inlineStr">
        <is>
          <t>Todos los días</t>
        </is>
      </c>
      <c r="AZ38" s="16" t="inlineStr">
        <is>
          <t>Gaseosas; Café</t>
        </is>
      </c>
      <c r="BB38" s="16" t="inlineStr">
        <is>
          <t>Casi nunca</t>
        </is>
      </c>
      <c r="BC38" s="16" t="inlineStr">
        <is>
          <t>Sí</t>
        </is>
      </c>
      <c r="BD38" s="16" t="inlineStr">
        <is>
          <t>No</t>
        </is>
      </c>
      <c r="BE38" s="16" t="inlineStr">
        <is>
          <t>Parcialmente</t>
        </is>
      </c>
      <c r="BF38" s="16" t="inlineStr">
        <is>
          <t>Obra social</t>
        </is>
      </c>
      <c r="BG38" s="16" t="inlineStr">
        <is>
          <t>Sistema público</t>
        </is>
      </c>
      <c r="BH38" s="16" t="inlineStr">
        <is>
          <t>Solo cuando me siento mal</t>
        </is>
      </c>
      <c r="BI38" s="16" t="inlineStr">
        <is>
          <t>Sistema público</t>
        </is>
      </c>
      <c r="BJ38" s="16" t="inlineStr">
        <is>
          <t>No</t>
        </is>
      </c>
      <c r="BL38" s="16" t="inlineStr">
        <is>
          <t>Ninguno</t>
        </is>
      </c>
      <c r="BN38" s="16" t="inlineStr">
        <is>
          <t>No tengo diagnóstico de enfermedad</t>
        </is>
      </c>
      <c r="BP38" s="16" t="inlineStr">
        <is>
          <t>Una vez a la semana</t>
        </is>
      </c>
      <c r="BQ38" s="16" t="inlineStr">
        <is>
          <t>Café</t>
        </is>
      </c>
      <c r="BS38" s="16" t="inlineStr">
        <is>
          <t>No</t>
        </is>
      </c>
      <c r="BT38" s="16" t="inlineStr">
        <is>
          <t>No</t>
        </is>
      </c>
      <c r="BU38" s="16" t="inlineStr">
        <is>
          <t>Nunca</t>
        </is>
      </c>
      <c r="BV38" s="16" t="inlineStr">
        <is>
          <t>No</t>
        </is>
      </c>
      <c r="BW38" s="16" t="inlineStr">
        <is>
          <t>No</t>
        </is>
      </c>
      <c r="BX38" s="16" t="inlineStr">
        <is>
          <t>Varón</t>
        </is>
      </c>
      <c r="BY38" s="16" t="n">
        <v>63.9</v>
      </c>
      <c r="BZ38" s="16" t="n">
        <v>1.74</v>
      </c>
      <c r="CA38" s="16" t="n">
        <v>21.1</v>
      </c>
      <c r="CB38" s="16" t="n">
        <v>101</v>
      </c>
      <c r="CC38" s="16" t="n">
        <v>113</v>
      </c>
      <c r="CD38" s="16" t="n">
        <v>72</v>
      </c>
      <c r="CE38" s="16" t="inlineStr">
        <is>
          <t>No</t>
        </is>
      </c>
      <c r="CF38" s="16" t="inlineStr">
        <is>
          <t>Sí</t>
        </is>
      </c>
      <c r="CG38" s="16" t="inlineStr">
        <is>
          <t>No</t>
        </is>
      </c>
      <c r="CH38" s="16" t="inlineStr">
        <is>
          <t>No</t>
        </is>
      </c>
      <c r="CI38" s="16" t="inlineStr">
        <is>
          <t>No</t>
        </is>
      </c>
      <c r="CJ38" s="16" t="inlineStr">
        <is>
          <t>No</t>
        </is>
      </c>
      <c r="CK38" s="16" t="inlineStr">
        <is>
          <t>No</t>
        </is>
      </c>
      <c r="CL38" s="16" t="inlineStr">
        <is>
          <t>Sí</t>
        </is>
      </c>
      <c r="CM38" s="16" t="inlineStr">
        <is>
          <t>07:38</t>
        </is>
      </c>
      <c r="CN38" s="16" t="inlineStr">
        <is>
          <t>Mate</t>
        </is>
      </c>
      <c r="CO38" s="16" t="inlineStr">
        <is>
          <t>12:30</t>
        </is>
      </c>
      <c r="CP38" s="16" t="n">
        <v>79</v>
      </c>
      <c r="CQ38" s="16" t="n">
        <v>292</v>
      </c>
      <c r="CR38" s="16" t="inlineStr">
        <is>
          <t>Sí</t>
        </is>
      </c>
      <c r="CS38" s="16" t="n">
        <v>5</v>
      </c>
      <c r="CT38" s="16" t="inlineStr">
        <is>
          <t>Bajo</t>
        </is>
      </c>
      <c r="CU38" s="16" t="inlineStr">
        <is>
          <t>1 %</t>
        </is>
      </c>
      <c r="CV38" s="16" t="inlineStr">
        <is>
          <t>Sí</t>
        </is>
      </c>
      <c r="CW38" s="16" t="n">
        <v>-9</v>
      </c>
      <c r="CX38" s="16" t="inlineStr">
        <is>
          <t>&lt;1</t>
        </is>
      </c>
      <c r="CY38" s="16" t="inlineStr">
        <is>
          <t>Bajo</t>
        </is>
      </c>
    </row>
    <row r="39">
      <c r="A39" s="16" t="inlineStr">
        <is>
          <t>demo-38</t>
        </is>
      </c>
      <c r="B39" s="16" t="inlineStr">
        <is>
          <t>A1-0038</t>
        </is>
      </c>
      <c r="C39" s="16" t="inlineStr">
        <is>
          <t>038-47-4600</t>
        </is>
      </c>
      <c r="D39" s="16" t="n">
        <v>38</v>
      </c>
      <c r="E39" s="16" t="n">
        <v>47</v>
      </c>
      <c r="F39" s="16" t="inlineStr">
        <is>
          <t>4600</t>
        </is>
      </c>
      <c r="G39" s="17" t="n">
        <v>46302</v>
      </c>
      <c r="H39" s="16" t="inlineStr">
        <is>
          <t>11:02</t>
        </is>
      </c>
      <c r="J39" s="16" t="inlineStr">
        <is>
          <t>A</t>
        </is>
      </c>
      <c r="K39" s="16" t="inlineStr">
        <is>
          <t>1</t>
        </is>
      </c>
      <c r="L39" s="16" t="inlineStr">
        <is>
          <t>Encuestador A</t>
        </is>
      </c>
      <c r="M39" s="16" t="inlineStr">
        <is>
          <t>Puesto 2</t>
        </is>
      </c>
      <c r="N39" s="16" t="inlineStr">
        <is>
          <t>Sí</t>
        </is>
      </c>
      <c r="O39" s="16" t="inlineStr">
        <is>
          <t>No</t>
        </is>
      </c>
      <c r="P39" s="16" t="n">
        <v>39</v>
      </c>
      <c r="Q39" s="16" t="inlineStr">
        <is>
          <t>Sí</t>
        </is>
      </c>
      <c r="R39" s="16" t="inlineStr">
        <is>
          <t>Sí</t>
        </is>
      </c>
      <c r="S39" s="16" t="inlineStr">
        <is>
          <t>Sí</t>
        </is>
      </c>
      <c r="T39" s="16" t="inlineStr">
        <is>
          <t>finalizado</t>
        </is>
      </c>
      <c r="U39" s="16" t="inlineStr">
        <is>
          <t>2026-10-v2</t>
        </is>
      </c>
      <c r="V39" s="16" t="inlineStr">
        <is>
          <t>2026-10-07T15:00:00.000Z</t>
        </is>
      </c>
      <c r="W39" s="16" t="inlineStr">
        <is>
          <t>Chile</t>
        </is>
      </c>
      <c r="Y39" s="16" t="inlineStr">
        <is>
          <t>Secundaria incompleta</t>
        </is>
      </c>
      <c r="Z39" s="16" t="inlineStr">
        <is>
          <t>No</t>
        </is>
      </c>
      <c r="AA39" s="16" t="inlineStr">
        <is>
          <t>4</t>
        </is>
      </c>
      <c r="AB39" s="16" t="inlineStr">
        <is>
          <t>1</t>
        </is>
      </c>
      <c r="AC39" s="16" t="inlineStr">
        <is>
          <t>Inglés; Portugués</t>
        </is>
      </c>
      <c r="AE39" s="16" t="inlineStr">
        <is>
          <t>Español</t>
        </is>
      </c>
      <c r="AG39" s="16" t="inlineStr">
        <is>
          <t>Argentina</t>
        </is>
      </c>
      <c r="AI39" s="16" t="inlineStr">
        <is>
          <t>Malo</t>
        </is>
      </c>
      <c r="AJ39" s="16" t="n">
        <v>19</v>
      </c>
      <c r="AK39" s="16" t="inlineStr">
        <is>
          <t>Viaje provincial (Jujuy)</t>
        </is>
      </c>
      <c r="AL39" s="16" t="inlineStr">
        <is>
          <t>Una vez al mes</t>
        </is>
      </c>
      <c r="AN39" s="16" t="inlineStr">
        <is>
          <t>2 veces por semana</t>
        </is>
      </c>
      <c r="AP39" s="16" t="inlineStr">
        <is>
          <t>Empleado</t>
        </is>
      </c>
      <c r="AR39" s="16" t="inlineStr">
        <is>
          <t>Disconforme</t>
        </is>
      </c>
      <c r="AS39" s="16" t="inlineStr">
        <is>
          <t>Sí</t>
        </is>
      </c>
      <c r="AT39" s="16" t="n">
        <v>2.6</v>
      </c>
      <c r="AU39" s="16" t="inlineStr">
        <is>
          <t>Sí</t>
        </is>
      </c>
      <c r="AV39" s="16" t="inlineStr">
        <is>
          <t>Paradores</t>
        </is>
      </c>
      <c r="AX39" s="16" t="n">
        <v>7.1</v>
      </c>
      <c r="AY39" s="16" t="inlineStr">
        <is>
          <t>Todos los días</t>
        </is>
      </c>
      <c r="AZ39" s="16" t="inlineStr">
        <is>
          <t>Mate; Agua</t>
        </is>
      </c>
      <c r="BB39" s="16" t="inlineStr">
        <is>
          <t>Casi nunca</t>
        </is>
      </c>
      <c r="BC39" s="16" t="inlineStr">
        <is>
          <t>Rara vez</t>
        </is>
      </c>
      <c r="BD39" s="16" t="inlineStr">
        <is>
          <t>No</t>
        </is>
      </c>
      <c r="BE39" s="16" t="inlineStr">
        <is>
          <t>No</t>
        </is>
      </c>
      <c r="BF39" s="16" t="inlineStr">
        <is>
          <t>Obra social</t>
        </is>
      </c>
      <c r="BG39" s="16" t="inlineStr">
        <is>
          <t>Ninguno</t>
        </is>
      </c>
      <c r="BH39" s="16" t="inlineStr">
        <is>
          <t>Solo cuando me siento mal</t>
        </is>
      </c>
      <c r="BI39" s="16" t="inlineStr">
        <is>
          <t>Sistema privado</t>
        </is>
      </c>
      <c r="BJ39" s="16" t="inlineStr">
        <is>
          <t>Sí</t>
        </is>
      </c>
      <c r="BK39" s="16" t="inlineStr">
        <is>
          <t>Rodillas</t>
        </is>
      </c>
      <c r="BL39" s="16" t="inlineStr">
        <is>
          <t>Medicamentos; Hierbas</t>
        </is>
      </c>
      <c r="BM39" s="16" t="inlineStr">
        <is>
          <t>Ibuprofeno</t>
        </is>
      </c>
      <c r="BN39" s="16" t="inlineStr">
        <is>
          <t>Obesidad</t>
        </is>
      </c>
      <c r="BP39" s="16" t="inlineStr">
        <is>
          <t>2 a 3 veces por semana</t>
        </is>
      </c>
      <c r="BQ39" s="16" t="inlineStr">
        <is>
          <t>Café</t>
        </is>
      </c>
      <c r="BS39" s="16" t="inlineStr">
        <is>
          <t>No</t>
        </is>
      </c>
      <c r="BT39" s="16" t="inlineStr">
        <is>
          <t>No</t>
        </is>
      </c>
      <c r="BU39" s="16" t="inlineStr">
        <is>
          <t>Siempre</t>
        </is>
      </c>
      <c r="BV39" s="16" t="inlineStr">
        <is>
          <t>Sí</t>
        </is>
      </c>
      <c r="BW39" s="16" t="inlineStr">
        <is>
          <t>Sí</t>
        </is>
      </c>
      <c r="BX39" s="16" t="inlineStr">
        <is>
          <t>Varón</t>
        </is>
      </c>
      <c r="BY39" s="16" t="n">
        <v>71.59999999999999</v>
      </c>
      <c r="BZ39" s="16" t="n">
        <v>1.76</v>
      </c>
      <c r="CA39" s="16" t="n">
        <v>23.1</v>
      </c>
      <c r="CB39" s="16" t="n">
        <v>90</v>
      </c>
      <c r="CC39" s="16" t="n">
        <v>127</v>
      </c>
      <c r="CD39" s="16" t="n">
        <v>81</v>
      </c>
      <c r="CE39" s="16" t="inlineStr">
        <is>
          <t>No</t>
        </is>
      </c>
      <c r="CF39" s="16" t="inlineStr">
        <is>
          <t>Sí</t>
        </is>
      </c>
      <c r="CG39" s="16" t="inlineStr">
        <is>
          <t>Sí</t>
        </is>
      </c>
      <c r="CH39" s="16" t="inlineStr">
        <is>
          <t>No</t>
        </is>
      </c>
      <c r="CI39" s="16" t="inlineStr">
        <is>
          <t>No</t>
        </is>
      </c>
      <c r="CJ39" s="16" t="inlineStr">
        <is>
          <t>Sí, primer grado</t>
        </is>
      </c>
      <c r="CK39" s="16" t="inlineStr">
        <is>
          <t>No</t>
        </is>
      </c>
      <c r="CL39" s="16" t="inlineStr">
        <is>
          <t>Sí</t>
        </is>
      </c>
      <c r="CM39" s="16" t="inlineStr">
        <is>
          <t>07:39</t>
        </is>
      </c>
      <c r="CN39" s="16" t="inlineStr">
        <is>
          <t>Mate</t>
        </is>
      </c>
      <c r="CO39" s="16" t="inlineStr">
        <is>
          <t>13:30</t>
        </is>
      </c>
      <c r="CP39" s="16" t="n">
        <v>89</v>
      </c>
      <c r="CQ39" s="16" t="n">
        <v>351</v>
      </c>
      <c r="CR39" s="16" t="inlineStr">
        <is>
          <t>No</t>
        </is>
      </c>
      <c r="CV39" s="16" t="inlineStr">
        <is>
          <t>Sí</t>
        </is>
      </c>
      <c r="CW39" s="16" t="n">
        <v>6</v>
      </c>
      <c r="CX39" s="16" t="inlineStr">
        <is>
          <t>2</t>
        </is>
      </c>
      <c r="CY39" s="16" t="inlineStr">
        <is>
          <t>Bajo</t>
        </is>
      </c>
    </row>
    <row r="40">
      <c r="A40" s="16" t="inlineStr">
        <is>
          <t>demo-39</t>
        </is>
      </c>
      <c r="B40" s="16" t="inlineStr">
        <is>
          <t>A1-0039</t>
        </is>
      </c>
      <c r="C40" s="16" t="inlineStr">
        <is>
          <t>039-51-4612</t>
        </is>
      </c>
      <c r="D40" s="16" t="n">
        <v>39</v>
      </c>
      <c r="E40" s="16" t="n">
        <v>51</v>
      </c>
      <c r="F40" s="16" t="inlineStr">
        <is>
          <t>4612</t>
        </is>
      </c>
      <c r="G40" s="17" t="n">
        <v>46302</v>
      </c>
      <c r="H40" s="16" t="inlineStr">
        <is>
          <t>13:01</t>
        </is>
      </c>
      <c r="J40" s="16" t="inlineStr">
        <is>
          <t>A</t>
        </is>
      </c>
      <c r="K40" s="16" t="inlineStr">
        <is>
          <t>1</t>
        </is>
      </c>
      <c r="L40" s="16" t="inlineStr">
        <is>
          <t>Encuestador A</t>
        </is>
      </c>
      <c r="M40" s="16" t="inlineStr">
        <is>
          <t>Puesto 1</t>
        </is>
      </c>
      <c r="N40" s="16" t="inlineStr">
        <is>
          <t>Sí</t>
        </is>
      </c>
      <c r="O40" s="16" t="inlineStr">
        <is>
          <t>Sí</t>
        </is>
      </c>
      <c r="P40" s="16" t="n">
        <v>39</v>
      </c>
      <c r="Q40" s="16" t="inlineStr">
        <is>
          <t>Sí</t>
        </is>
      </c>
      <c r="R40" s="16" t="inlineStr">
        <is>
          <t>Sí</t>
        </is>
      </c>
      <c r="S40" s="16" t="inlineStr">
        <is>
          <t>Sí</t>
        </is>
      </c>
      <c r="T40" s="16" t="inlineStr">
        <is>
          <t>finalizado</t>
        </is>
      </c>
      <c r="U40" s="16" t="inlineStr">
        <is>
          <t>2026-10-v2</t>
        </is>
      </c>
      <c r="V40" s="16" t="inlineStr">
        <is>
          <t>2026-10-07T15:00:00.000Z</t>
        </is>
      </c>
      <c r="W40" s="16" t="inlineStr">
        <is>
          <t>Chile</t>
        </is>
      </c>
      <c r="Y40" s="16" t="inlineStr">
        <is>
          <t>Primaria completa</t>
        </is>
      </c>
      <c r="Z40" s="16" t="inlineStr">
        <is>
          <t>Sí</t>
        </is>
      </c>
      <c r="AA40" s="16" t="inlineStr">
        <is>
          <t>4</t>
        </is>
      </c>
      <c r="AB40" s="16" t="inlineStr">
        <is>
          <t>1</t>
        </is>
      </c>
      <c r="AC40" s="16" t="inlineStr">
        <is>
          <t>Inglés</t>
        </is>
      </c>
      <c r="AE40" s="16" t="inlineStr">
        <is>
          <t>Español</t>
        </is>
      </c>
      <c r="AG40" s="16" t="inlineStr">
        <is>
          <t>Argentina</t>
        </is>
      </c>
      <c r="AI40" s="16" t="inlineStr">
        <is>
          <t>Malo</t>
        </is>
      </c>
      <c r="AJ40" s="16" t="n">
        <v>27</v>
      </c>
      <c r="AK40" s="16" t="inlineStr">
        <is>
          <t>Viaje interprovincial</t>
        </is>
      </c>
      <c r="AL40" s="16" t="inlineStr">
        <is>
          <t>2 veces por semana</t>
        </is>
      </c>
      <c r="AN40" s="16" t="inlineStr">
        <is>
          <t>Una vez a la semana</t>
        </is>
      </c>
      <c r="AP40" s="16" t="inlineStr">
        <is>
          <t>Empleado</t>
        </is>
      </c>
      <c r="AR40" s="16" t="inlineStr">
        <is>
          <t>Conforme</t>
        </is>
      </c>
      <c r="AS40" s="16" t="inlineStr">
        <is>
          <t>Sí</t>
        </is>
      </c>
      <c r="AT40" s="16" t="n">
        <v>8.9</v>
      </c>
      <c r="AU40" s="16" t="inlineStr">
        <is>
          <t>Sí</t>
        </is>
      </c>
      <c r="AV40" s="16" t="inlineStr">
        <is>
          <t>Paradores; En el camión al costado de la ruta</t>
        </is>
      </c>
      <c r="AX40" s="16" t="n">
        <v>5.1</v>
      </c>
      <c r="AY40" s="16" t="inlineStr">
        <is>
          <t>Varias veces por semana</t>
        </is>
      </c>
      <c r="AZ40" s="16" t="inlineStr">
        <is>
          <t>Mate</t>
        </is>
      </c>
      <c r="BB40" s="16" t="inlineStr">
        <is>
          <t>A veces</t>
        </is>
      </c>
      <c r="BC40" s="16" t="inlineStr">
        <is>
          <t>Rara vez</t>
        </is>
      </c>
      <c r="BD40" s="16" t="inlineStr">
        <is>
          <t>Sí</t>
        </is>
      </c>
      <c r="BE40" s="16" t="inlineStr">
        <is>
          <t>No</t>
        </is>
      </c>
      <c r="BF40" s="16" t="inlineStr">
        <is>
          <t>Obra social</t>
        </is>
      </c>
      <c r="BG40" s="16" t="inlineStr">
        <is>
          <t>Sistema público</t>
        </is>
      </c>
      <c r="BH40" s="16" t="inlineStr">
        <is>
          <t>Solo cuando me siento mal</t>
        </is>
      </c>
      <c r="BI40" s="16" t="inlineStr">
        <is>
          <t>Sistema privado</t>
        </is>
      </c>
      <c r="BJ40" s="16" t="inlineStr">
        <is>
          <t>Sí</t>
        </is>
      </c>
      <c r="BK40" s="16" t="inlineStr">
        <is>
          <t>Rodillas</t>
        </is>
      </c>
      <c r="BL40" s="16" t="inlineStr">
        <is>
          <t>Medicamentos; Hierbas</t>
        </is>
      </c>
      <c r="BM40" s="16" t="inlineStr">
        <is>
          <t>Ibuprofeno</t>
        </is>
      </c>
      <c r="BN40" s="16" t="inlineStr">
        <is>
          <t>No tengo diagnóstico de enfermedad</t>
        </is>
      </c>
      <c r="BP40" s="16" t="inlineStr">
        <is>
          <t>Nunca</t>
        </is>
      </c>
      <c r="BQ40" s="16" t="inlineStr">
        <is>
          <t>Yerba mate</t>
        </is>
      </c>
      <c r="BS40" s="16" t="inlineStr">
        <is>
          <t>No</t>
        </is>
      </c>
      <c r="BT40" s="16" t="inlineStr">
        <is>
          <t>No</t>
        </is>
      </c>
      <c r="BU40" s="16" t="inlineStr">
        <is>
          <t>A veces</t>
        </is>
      </c>
      <c r="BV40" s="16" t="inlineStr">
        <is>
          <t>Sí</t>
        </is>
      </c>
      <c r="BW40" s="16" t="inlineStr">
        <is>
          <t>No</t>
        </is>
      </c>
      <c r="BX40" s="16" t="inlineStr">
        <is>
          <t>Varón</t>
        </is>
      </c>
      <c r="BY40" s="16" t="n">
        <v>72.7</v>
      </c>
      <c r="BZ40" s="16" t="n">
        <v>1.81</v>
      </c>
      <c r="CA40" s="16" t="n">
        <v>22.2</v>
      </c>
      <c r="CB40" s="16" t="n">
        <v>113</v>
      </c>
      <c r="CC40" s="16" t="n">
        <v>124</v>
      </c>
      <c r="CD40" s="16" t="n">
        <v>79</v>
      </c>
      <c r="CE40" s="16" t="inlineStr">
        <is>
          <t>No</t>
        </is>
      </c>
      <c r="CF40" s="16" t="inlineStr">
        <is>
          <t>Sí</t>
        </is>
      </c>
      <c r="CG40" s="16" t="inlineStr">
        <is>
          <t>No</t>
        </is>
      </c>
      <c r="CH40" s="16" t="inlineStr">
        <is>
          <t>Sí</t>
        </is>
      </c>
      <c r="CI40" s="16" t="inlineStr">
        <is>
          <t>No</t>
        </is>
      </c>
      <c r="CJ40" s="16" t="inlineStr">
        <is>
          <t>No</t>
        </is>
      </c>
      <c r="CK40" s="16" t="inlineStr">
        <is>
          <t>No</t>
        </is>
      </c>
      <c r="CL40" s="16" t="inlineStr">
        <is>
          <t>Sí</t>
        </is>
      </c>
      <c r="CM40" s="16" t="inlineStr">
        <is>
          <t>07:11</t>
        </is>
      </c>
      <c r="CN40" s="16" t="inlineStr">
        <is>
          <t>Mate</t>
        </is>
      </c>
      <c r="CO40" s="16" t="inlineStr">
        <is>
          <t>10:30</t>
        </is>
      </c>
      <c r="CP40" s="16" t="n">
        <v>168</v>
      </c>
      <c r="CQ40" s="16" t="n">
        <v>199</v>
      </c>
      <c r="CR40" s="16" t="inlineStr">
        <is>
          <t>Sí</t>
        </is>
      </c>
      <c r="CS40" s="16" t="n">
        <v>10</v>
      </c>
      <c r="CT40" s="16" t="inlineStr">
        <is>
          <t>Ligeramente elevado</t>
        </is>
      </c>
      <c r="CU40" s="16" t="inlineStr">
        <is>
          <t>4 %</t>
        </is>
      </c>
      <c r="CV40" s="16" t="inlineStr">
        <is>
          <t>Sí</t>
        </is>
      </c>
      <c r="CW40" s="16" t="n">
        <v>7</v>
      </c>
      <c r="CX40" s="16" t="inlineStr">
        <is>
          <t>3</t>
        </is>
      </c>
      <c r="CY40" s="16" t="inlineStr">
        <is>
          <t>Bajo</t>
        </is>
      </c>
    </row>
    <row r="41">
      <c r="A41" s="16" t="inlineStr">
        <is>
          <t>demo-40</t>
        </is>
      </c>
      <c r="B41" s="16" t="inlineStr">
        <is>
          <t>A1-0040</t>
        </is>
      </c>
      <c r="C41" s="16" t="inlineStr">
        <is>
          <t>040-45-4612</t>
        </is>
      </c>
      <c r="D41" s="16" t="n">
        <v>40</v>
      </c>
      <c r="E41" s="16" t="n">
        <v>45</v>
      </c>
      <c r="F41" s="16" t="inlineStr">
        <is>
          <t>4612</t>
        </is>
      </c>
      <c r="G41" s="17" t="n">
        <v>46295</v>
      </c>
      <c r="H41" s="16" t="inlineStr">
        <is>
          <t>15:06</t>
        </is>
      </c>
      <c r="J41" s="16" t="inlineStr">
        <is>
          <t>A</t>
        </is>
      </c>
      <c r="K41" s="16" t="inlineStr">
        <is>
          <t>1</t>
        </is>
      </c>
      <c r="L41" s="16" t="inlineStr">
        <is>
          <t>Encuestador A</t>
        </is>
      </c>
      <c r="M41" s="16" t="inlineStr">
        <is>
          <t>Puesto 1</t>
        </is>
      </c>
      <c r="N41" s="16" t="inlineStr">
        <is>
          <t>Sí</t>
        </is>
      </c>
      <c r="O41" s="16" t="inlineStr">
        <is>
          <t>Sí</t>
        </is>
      </c>
      <c r="P41" s="16" t="n">
        <v>39</v>
      </c>
      <c r="Q41" s="16" t="inlineStr">
        <is>
          <t>Sí</t>
        </is>
      </c>
      <c r="R41" s="16" t="inlineStr">
        <is>
          <t>Sí</t>
        </is>
      </c>
      <c r="S41" s="16" t="inlineStr">
        <is>
          <t>Sí</t>
        </is>
      </c>
      <c r="T41" s="16" t="inlineStr">
        <is>
          <t>finalizado</t>
        </is>
      </c>
      <c r="U41" s="16" t="inlineStr">
        <is>
          <t>2026-10-v2</t>
        </is>
      </c>
      <c r="V41" s="16" t="inlineStr">
        <is>
          <t>2026-09-30T15:00:00.000Z</t>
        </is>
      </c>
      <c r="W41" s="16" t="inlineStr">
        <is>
          <t>Argentina</t>
        </is>
      </c>
      <c r="Y41" s="16" t="inlineStr">
        <is>
          <t>Secundaria incompleta</t>
        </is>
      </c>
      <c r="Z41" s="16" t="inlineStr">
        <is>
          <t>No</t>
        </is>
      </c>
      <c r="AA41" s="16" t="inlineStr">
        <is>
          <t>Más de 5</t>
        </is>
      </c>
      <c r="AB41" s="16" t="inlineStr">
        <is>
          <t>1</t>
        </is>
      </c>
      <c r="AC41" s="16" t="inlineStr">
        <is>
          <t>Español</t>
        </is>
      </c>
      <c r="AE41" s="16" t="inlineStr">
        <is>
          <t>Español</t>
        </is>
      </c>
      <c r="AG41" s="16" t="inlineStr">
        <is>
          <t>Argentina</t>
        </is>
      </c>
      <c r="AI41" s="16" t="inlineStr">
        <is>
          <t>Malo</t>
        </is>
      </c>
      <c r="AJ41" s="16" t="n">
        <v>10</v>
      </c>
      <c r="AK41" s="16" t="inlineStr">
        <is>
          <t>Viaje interprovincial</t>
        </is>
      </c>
      <c r="AL41" s="16" t="inlineStr">
        <is>
          <t>Una vez a la semana</t>
        </is>
      </c>
      <c r="AN41" s="16" t="inlineStr">
        <is>
          <t>Diariamente</t>
        </is>
      </c>
      <c r="AP41" s="16" t="inlineStr">
        <is>
          <t>Empleado</t>
        </is>
      </c>
      <c r="AR41" s="16" t="inlineStr">
        <is>
          <t>Conforme</t>
        </is>
      </c>
      <c r="AS41" s="16" t="inlineStr">
        <is>
          <t>Sí</t>
        </is>
      </c>
      <c r="AT41" s="16" t="n">
        <v>8</v>
      </c>
      <c r="AU41" s="16" t="inlineStr">
        <is>
          <t>Sí</t>
        </is>
      </c>
      <c r="AV41" s="16" t="inlineStr">
        <is>
          <t>En el camión al costado de la ruta; Paradores</t>
        </is>
      </c>
      <c r="AX41" s="16" t="n">
        <v>5.1</v>
      </c>
      <c r="AY41" s="16" t="inlineStr">
        <is>
          <t>Varias veces por semana</t>
        </is>
      </c>
      <c r="AZ41" s="16" t="inlineStr">
        <is>
          <t>Jugos artificiales; Agua</t>
        </is>
      </c>
      <c r="BB41" s="16" t="inlineStr">
        <is>
          <t>Nunca</t>
        </is>
      </c>
      <c r="BC41" s="16" t="inlineStr">
        <is>
          <t>Sí</t>
        </is>
      </c>
      <c r="BD41" s="16" t="inlineStr">
        <is>
          <t>No</t>
        </is>
      </c>
      <c r="BE41" s="16" t="inlineStr">
        <is>
          <t>No</t>
        </is>
      </c>
      <c r="BF41" s="16" t="inlineStr">
        <is>
          <t>Ninguna</t>
        </is>
      </c>
      <c r="BG41" s="16" t="inlineStr">
        <is>
          <t>Ninguno</t>
        </is>
      </c>
      <c r="BH41" s="16" t="inlineStr">
        <is>
          <t>2 veces al año</t>
        </is>
      </c>
      <c r="BI41" s="16" t="inlineStr">
        <is>
          <t>Sistema privado</t>
        </is>
      </c>
      <c r="BJ41" s="16" t="inlineStr">
        <is>
          <t>No</t>
        </is>
      </c>
      <c r="BL41" s="16" t="inlineStr">
        <is>
          <t>Medicamentos</t>
        </is>
      </c>
      <c r="BM41" s="16" t="inlineStr">
        <is>
          <t>Ibuprofeno</t>
        </is>
      </c>
      <c r="BN41" s="16" t="inlineStr">
        <is>
          <t>Musculoesqueléticos</t>
        </is>
      </c>
      <c r="BP41" s="16" t="inlineStr">
        <is>
          <t>Nunca</t>
        </is>
      </c>
      <c r="BQ41" s="16" t="inlineStr">
        <is>
          <t>No</t>
        </is>
      </c>
      <c r="BS41" s="16" t="inlineStr">
        <is>
          <t>Sí</t>
        </is>
      </c>
      <c r="BT41" s="16" t="inlineStr">
        <is>
          <t>Sí</t>
        </is>
      </c>
      <c r="BU41" s="16" t="inlineStr">
        <is>
          <t>Nunca</t>
        </is>
      </c>
      <c r="BV41" s="16" t="inlineStr">
        <is>
          <t>No</t>
        </is>
      </c>
      <c r="BW41" s="16" t="inlineStr">
        <is>
          <t>No</t>
        </is>
      </c>
      <c r="BX41" s="16" t="inlineStr">
        <is>
          <t>Varón</t>
        </is>
      </c>
      <c r="BY41" s="16" t="n">
        <v>77.2</v>
      </c>
      <c r="BZ41" s="16" t="n">
        <v>1.72</v>
      </c>
      <c r="CA41" s="16" t="n">
        <v>26.1</v>
      </c>
      <c r="CB41" s="16" t="n">
        <v>115</v>
      </c>
      <c r="CC41" s="16" t="n">
        <v>116</v>
      </c>
      <c r="CD41" s="16" t="n">
        <v>74</v>
      </c>
      <c r="CE41" s="16" t="inlineStr">
        <is>
          <t>Sí</t>
        </is>
      </c>
      <c r="CF41" s="16" t="inlineStr">
        <is>
          <t>No</t>
        </is>
      </c>
      <c r="CG41" s="16" t="inlineStr">
        <is>
          <t>No</t>
        </is>
      </c>
      <c r="CH41" s="16" t="inlineStr">
        <is>
          <t>No</t>
        </is>
      </c>
      <c r="CI41" s="16" t="inlineStr">
        <is>
          <t>Sí</t>
        </is>
      </c>
      <c r="CJ41" s="16" t="inlineStr">
        <is>
          <t>Sí, parientes lejanos</t>
        </is>
      </c>
      <c r="CK41" s="16" t="inlineStr">
        <is>
          <t>Sí</t>
        </is>
      </c>
      <c r="CL41" s="16" t="inlineStr">
        <is>
          <t>Sí</t>
        </is>
      </c>
      <c r="CM41" s="16" t="inlineStr">
        <is>
          <t>07:36</t>
        </is>
      </c>
      <c r="CN41" s="16" t="inlineStr">
        <is>
          <t>Mate</t>
        </is>
      </c>
      <c r="CO41" s="16" t="inlineStr">
        <is>
          <t>11:30</t>
        </is>
      </c>
      <c r="CP41" s="16" t="n">
        <v>178</v>
      </c>
      <c r="CQ41" s="16" t="n">
        <v>234</v>
      </c>
      <c r="CR41" s="16" t="inlineStr">
        <is>
          <t>Sí</t>
        </is>
      </c>
      <c r="CS41" s="16" t="n">
        <v>16</v>
      </c>
      <c r="CT41" s="16" t="inlineStr">
        <is>
          <t>Alto</t>
        </is>
      </c>
      <c r="CU41" s="16" t="inlineStr">
        <is>
          <t>33 %</t>
        </is>
      </c>
      <c r="CV41" s="16" t="inlineStr">
        <is>
          <t>Sí</t>
        </is>
      </c>
      <c r="CW41" s="16" t="n">
        <v>9</v>
      </c>
      <c r="CX41" s="16" t="inlineStr">
        <is>
          <t>5</t>
        </is>
      </c>
      <c r="CY41" s="16" t="inlineStr">
        <is>
          <t>Bajo</t>
        </is>
      </c>
    </row>
    <row r="42">
      <c r="A42" s="16" t="inlineStr">
        <is>
          <t>demo-41</t>
        </is>
      </c>
      <c r="B42" s="16" t="inlineStr">
        <is>
          <t>B1-0041</t>
        </is>
      </c>
      <c r="C42" s="16" t="inlineStr">
        <is>
          <t>240-59-4500</t>
        </is>
      </c>
      <c r="D42" s="16" t="n">
        <v>240</v>
      </c>
      <c r="E42" s="16" t="n">
        <v>59</v>
      </c>
      <c r="F42" s="16" t="inlineStr">
        <is>
          <t>4500</t>
        </is>
      </c>
      <c r="G42" s="17" t="n">
        <v>46302</v>
      </c>
      <c r="H42" s="16" t="inlineStr">
        <is>
          <t>12:04</t>
        </is>
      </c>
      <c r="J42" s="16" t="inlineStr">
        <is>
          <t>B</t>
        </is>
      </c>
      <c r="K42" s="16" t="inlineStr">
        <is>
          <t>1</t>
        </is>
      </c>
      <c r="L42" s="16" t="inlineStr">
        <is>
          <t>Encuestador B</t>
        </is>
      </c>
      <c r="M42" s="16" t="inlineStr">
        <is>
          <t>Puesto 2</t>
        </is>
      </c>
      <c r="N42" s="16" t="inlineStr">
        <is>
          <t>Sí</t>
        </is>
      </c>
      <c r="O42" s="16" t="inlineStr">
        <is>
          <t>Sí</t>
        </is>
      </c>
      <c r="P42" s="16" t="n">
        <v>39</v>
      </c>
      <c r="Q42" s="16" t="inlineStr">
        <is>
          <t>Sí</t>
        </is>
      </c>
      <c r="R42" s="16" t="inlineStr">
        <is>
          <t>Sí</t>
        </is>
      </c>
      <c r="S42" s="16" t="inlineStr">
        <is>
          <t>Sí</t>
        </is>
      </c>
      <c r="T42" s="16" t="inlineStr">
        <is>
          <t>finalizado</t>
        </is>
      </c>
      <c r="U42" s="16" t="inlineStr">
        <is>
          <t>2026-10-v2</t>
        </is>
      </c>
      <c r="V42" s="16" t="inlineStr">
        <is>
          <t>2026-10-07T15:00:00.000Z</t>
        </is>
      </c>
      <c r="W42" s="16" t="inlineStr">
        <is>
          <t>Argentina</t>
        </is>
      </c>
      <c r="Y42" s="16" t="inlineStr">
        <is>
          <t>Secundaria incompleta</t>
        </is>
      </c>
      <c r="Z42" s="16" t="inlineStr">
        <is>
          <t>Sí</t>
        </is>
      </c>
      <c r="AA42" s="16" t="inlineStr">
        <is>
          <t>Más de 5</t>
        </is>
      </c>
      <c r="AB42" s="16" t="inlineStr">
        <is>
          <t>2</t>
        </is>
      </c>
      <c r="AC42" s="16" t="inlineStr">
        <is>
          <t>Guaraní; Inglés</t>
        </is>
      </c>
      <c r="AE42" s="16" t="inlineStr">
        <is>
          <t>Español</t>
        </is>
      </c>
      <c r="AG42" s="16" t="inlineStr">
        <is>
          <t>Argentina</t>
        </is>
      </c>
      <c r="AI42" s="16" t="inlineStr">
        <is>
          <t>Regular</t>
        </is>
      </c>
      <c r="AJ42" s="16" t="n">
        <v>21</v>
      </c>
      <c r="AK42" s="16" t="inlineStr">
        <is>
          <t>Viaje provincial (Jujuy)</t>
        </is>
      </c>
      <c r="AL42" s="16" t="inlineStr">
        <is>
          <t>2 veces por semana</t>
        </is>
      </c>
      <c r="AN42" s="16" t="inlineStr">
        <is>
          <t>Diariamente</t>
        </is>
      </c>
      <c r="AP42" s="16" t="inlineStr">
        <is>
          <t>Empleado</t>
        </is>
      </c>
      <c r="AR42" s="16" t="inlineStr">
        <is>
          <t>Disconforme</t>
        </is>
      </c>
      <c r="AS42" s="16" t="inlineStr">
        <is>
          <t>No</t>
        </is>
      </c>
      <c r="AT42" s="16" t="n">
        <v>7.7</v>
      </c>
      <c r="AU42" s="16" t="inlineStr">
        <is>
          <t>Sí</t>
        </is>
      </c>
      <c r="AV42" s="16" t="inlineStr">
        <is>
          <t>Estaciones de servicio</t>
        </is>
      </c>
      <c r="AX42" s="16" t="n">
        <v>7.7</v>
      </c>
      <c r="AY42" s="16" t="inlineStr">
        <is>
          <t>Nunca</t>
        </is>
      </c>
      <c r="AZ42" s="16" t="inlineStr">
        <is>
          <t>Agua; Mate; Gaseosas</t>
        </is>
      </c>
      <c r="BB42" s="16" t="inlineStr">
        <is>
          <t>A veces</t>
        </is>
      </c>
      <c r="BC42" s="16" t="inlineStr">
        <is>
          <t>Rara vez</t>
        </is>
      </c>
      <c r="BD42" s="16" t="inlineStr">
        <is>
          <t>No</t>
        </is>
      </c>
      <c r="BE42" s="16" t="inlineStr">
        <is>
          <t>Parcialmente</t>
        </is>
      </c>
      <c r="BF42" s="16" t="inlineStr">
        <is>
          <t>Obra social</t>
        </is>
      </c>
      <c r="BG42" s="16" t="inlineStr">
        <is>
          <t>Sistema privado</t>
        </is>
      </c>
      <c r="BH42" s="16" t="inlineStr">
        <is>
          <t>Una vez al año</t>
        </is>
      </c>
      <c r="BI42" s="16" t="inlineStr">
        <is>
          <t>Sistema público</t>
        </is>
      </c>
      <c r="BJ42" s="16" t="inlineStr">
        <is>
          <t>Sí</t>
        </is>
      </c>
      <c r="BK42" s="16" t="inlineStr">
        <is>
          <t>Rodillas</t>
        </is>
      </c>
      <c r="BL42" s="16" t="inlineStr">
        <is>
          <t>Medicamentos</t>
        </is>
      </c>
      <c r="BM42" s="16" t="inlineStr">
        <is>
          <t>Ibuprofeno</t>
        </is>
      </c>
      <c r="BN42" s="16" t="inlineStr">
        <is>
          <t>Musculoesqueléticos; Digestivas</t>
        </is>
      </c>
      <c r="BP42" s="16" t="inlineStr">
        <is>
          <t>Nunca</t>
        </is>
      </c>
      <c r="BQ42" s="16" t="inlineStr">
        <is>
          <t>No</t>
        </is>
      </c>
      <c r="BS42" s="16" t="inlineStr">
        <is>
          <t>No</t>
        </is>
      </c>
      <c r="BT42" s="16" t="inlineStr">
        <is>
          <t>Sí</t>
        </is>
      </c>
      <c r="BU42" s="16" t="inlineStr">
        <is>
          <t>Nunca</t>
        </is>
      </c>
      <c r="BV42" s="16" t="inlineStr">
        <is>
          <t>No</t>
        </is>
      </c>
      <c r="BW42" s="16" t="inlineStr">
        <is>
          <t>Sí</t>
        </is>
      </c>
      <c r="BX42" s="16" t="inlineStr">
        <is>
          <t>Varón</t>
        </is>
      </c>
      <c r="BY42" s="16" t="n">
        <v>70.90000000000001</v>
      </c>
      <c r="BZ42" s="16" t="n">
        <v>1.6</v>
      </c>
      <c r="CA42" s="16" t="n">
        <v>27.7</v>
      </c>
      <c r="CB42" s="16" t="n">
        <v>79</v>
      </c>
      <c r="CC42" s="16" t="n">
        <v>144</v>
      </c>
      <c r="CD42" s="16" t="n">
        <v>91</v>
      </c>
      <c r="CE42" s="16" t="inlineStr">
        <is>
          <t>No</t>
        </is>
      </c>
      <c r="CF42" s="16" t="inlineStr">
        <is>
          <t>No</t>
        </is>
      </c>
      <c r="CG42" s="16" t="inlineStr">
        <is>
          <t>Sí</t>
        </is>
      </c>
      <c r="CH42" s="16" t="inlineStr">
        <is>
          <t>Sí</t>
        </is>
      </c>
      <c r="CI42" s="16" t="inlineStr">
        <is>
          <t>No</t>
        </is>
      </c>
      <c r="CJ42" s="16" t="inlineStr">
        <is>
          <t>No</t>
        </is>
      </c>
      <c r="CK42" s="16" t="inlineStr">
        <is>
          <t>Sí</t>
        </is>
      </c>
      <c r="CL42" s="16" t="inlineStr">
        <is>
          <t>Sí</t>
        </is>
      </c>
      <c r="CM42" s="16" t="inlineStr">
        <is>
          <t>07:37</t>
        </is>
      </c>
      <c r="CN42" s="16" t="inlineStr">
        <is>
          <t>Mate</t>
        </is>
      </c>
      <c r="CO42" s="16" t="inlineStr">
        <is>
          <t>11:30</t>
        </is>
      </c>
      <c r="CP42" s="16" t="n">
        <v>158</v>
      </c>
      <c r="CQ42" s="16" t="n">
        <v>233</v>
      </c>
      <c r="CR42" s="16" t="inlineStr">
        <is>
          <t>No</t>
        </is>
      </c>
      <c r="CV42" s="16" t="inlineStr">
        <is>
          <t>Sí</t>
        </is>
      </c>
      <c r="CW42" s="16" t="n">
        <v>17</v>
      </c>
      <c r="CX42" s="16" t="inlineStr">
        <is>
          <t>≥30</t>
        </is>
      </c>
      <c r="CY42" s="16" t="inlineStr">
        <is>
          <t>Alto</t>
        </is>
      </c>
    </row>
    <row r="43">
      <c r="A43" s="16" t="inlineStr">
        <is>
          <t>demo-42</t>
        </is>
      </c>
      <c r="B43" s="16" t="inlineStr">
        <is>
          <t>A1-0042</t>
        </is>
      </c>
      <c r="C43" s="16" t="inlineStr">
        <is>
          <t>042-23-4630</t>
        </is>
      </c>
      <c r="D43" s="16" t="n">
        <v>42</v>
      </c>
      <c r="E43" s="16" t="n">
        <v>23</v>
      </c>
      <c r="F43" s="16" t="inlineStr">
        <is>
          <t>4630</t>
        </is>
      </c>
      <c r="G43" s="17" t="n">
        <v>46290</v>
      </c>
      <c r="H43" s="16" t="inlineStr">
        <is>
          <t>12:00</t>
        </is>
      </c>
      <c r="J43" s="16" t="inlineStr">
        <is>
          <t>A</t>
        </is>
      </c>
      <c r="K43" s="16" t="inlineStr">
        <is>
          <t>1</t>
        </is>
      </c>
      <c r="L43" s="16" t="inlineStr">
        <is>
          <t>Encuestador A</t>
        </is>
      </c>
      <c r="M43" s="16" t="inlineStr">
        <is>
          <t>Puesto 2</t>
        </is>
      </c>
      <c r="N43" s="16" t="inlineStr">
        <is>
          <t>Sí</t>
        </is>
      </c>
      <c r="O43" s="16" t="inlineStr">
        <is>
          <t>Sí</t>
        </is>
      </c>
      <c r="P43" s="16" t="n">
        <v>39</v>
      </c>
      <c r="Q43" s="16" t="inlineStr">
        <is>
          <t>Sí</t>
        </is>
      </c>
      <c r="R43" s="16" t="inlineStr">
        <is>
          <t>Sí</t>
        </is>
      </c>
      <c r="S43" s="16" t="inlineStr">
        <is>
          <t>No</t>
        </is>
      </c>
      <c r="T43" s="16" t="inlineStr">
        <is>
          <t>finalizado</t>
        </is>
      </c>
      <c r="U43" s="16" t="inlineStr">
        <is>
          <t>2026-10-v2</t>
        </is>
      </c>
      <c r="V43" s="16" t="inlineStr">
        <is>
          <t>2026-09-25T15:00:00.000Z</t>
        </is>
      </c>
      <c r="W43" s="16" t="inlineStr">
        <is>
          <t>Brasil</t>
        </is>
      </c>
      <c r="Y43" s="16" t="inlineStr">
        <is>
          <t>Secundaria completa</t>
        </is>
      </c>
      <c r="Z43" s="16" t="inlineStr">
        <is>
          <t>Sí</t>
        </is>
      </c>
      <c r="AA43" s="16" t="inlineStr">
        <is>
          <t>Más de 5</t>
        </is>
      </c>
      <c r="AB43" s="16" t="inlineStr">
        <is>
          <t>Más de 5</t>
        </is>
      </c>
      <c r="AC43" s="16" t="inlineStr">
        <is>
          <t>Guaraní; Inglés</t>
        </is>
      </c>
      <c r="AE43" s="16" t="inlineStr">
        <is>
          <t>Español</t>
        </is>
      </c>
      <c r="AG43" s="16" t="inlineStr">
        <is>
          <t>Argentina</t>
        </is>
      </c>
      <c r="AI43" s="16" t="inlineStr">
        <is>
          <t>Bueno</t>
        </is>
      </c>
      <c r="AJ43" s="16" t="n">
        <v>2</v>
      </c>
      <c r="AK43" s="16" t="inlineStr">
        <is>
          <t>Viaje interprovincial</t>
        </is>
      </c>
      <c r="AL43" s="16" t="inlineStr">
        <is>
          <t>Una vez al mes</t>
        </is>
      </c>
      <c r="AN43" s="16" t="inlineStr">
        <is>
          <t>3 veces por semana</t>
        </is>
      </c>
      <c r="AP43" s="16" t="inlineStr">
        <is>
          <t>Dueño del camión</t>
        </is>
      </c>
      <c r="AR43" s="16" t="inlineStr">
        <is>
          <t>Disconforme</t>
        </is>
      </c>
      <c r="AS43" s="16" t="inlineStr">
        <is>
          <t>Sí</t>
        </is>
      </c>
      <c r="AT43" s="16" t="n">
        <v>5.4</v>
      </c>
      <c r="AU43" s="16" t="inlineStr">
        <is>
          <t>Sí</t>
        </is>
      </c>
      <c r="AV43" s="16" t="inlineStr">
        <is>
          <t>Paradores</t>
        </is>
      </c>
      <c r="AX43" s="16" t="n">
        <v>5.4</v>
      </c>
      <c r="AY43" s="16" t="inlineStr">
        <is>
          <t>Nunca</t>
        </is>
      </c>
      <c r="AZ43" s="16" t="inlineStr">
        <is>
          <t>Mate</t>
        </is>
      </c>
      <c r="BB43" s="16" t="inlineStr">
        <is>
          <t>Nunca</t>
        </is>
      </c>
      <c r="BC43" s="16" t="inlineStr">
        <is>
          <t>Sí</t>
        </is>
      </c>
      <c r="BD43" s="16" t="inlineStr">
        <is>
          <t>No</t>
        </is>
      </c>
      <c r="BE43" s="16" t="inlineStr">
        <is>
          <t>No</t>
        </is>
      </c>
      <c r="BF43" s="16" t="inlineStr">
        <is>
          <t>Obra social</t>
        </is>
      </c>
      <c r="BG43" s="16" t="inlineStr">
        <is>
          <t>Sistema público</t>
        </is>
      </c>
      <c r="BH43" s="16" t="inlineStr">
        <is>
          <t>Una vez al año</t>
        </is>
      </c>
      <c r="BI43" s="16" t="inlineStr">
        <is>
          <t>Sistema público</t>
        </is>
      </c>
      <c r="BJ43" s="16" t="inlineStr">
        <is>
          <t>No</t>
        </is>
      </c>
      <c r="BL43" s="16" t="inlineStr">
        <is>
          <t>Medicamentos</t>
        </is>
      </c>
      <c r="BM43" s="16" t="inlineStr">
        <is>
          <t>Ibuprofeno</t>
        </is>
      </c>
      <c r="BN43" s="16" t="inlineStr">
        <is>
          <t>Musculoesqueléticos; Digestivas</t>
        </is>
      </c>
      <c r="BP43" s="16" t="inlineStr">
        <is>
          <t>Rara vez</t>
        </is>
      </c>
      <c r="BQ43" s="16" t="inlineStr">
        <is>
          <t>Café</t>
        </is>
      </c>
      <c r="BS43" s="16" t="inlineStr">
        <is>
          <t>Sí</t>
        </is>
      </c>
      <c r="BT43" s="16" t="inlineStr">
        <is>
          <t>Sí</t>
        </is>
      </c>
      <c r="BU43" s="16" t="inlineStr">
        <is>
          <t>Nunca</t>
        </is>
      </c>
      <c r="BV43" s="16" t="inlineStr">
        <is>
          <t>No</t>
        </is>
      </c>
      <c r="BW43" s="16" t="inlineStr">
        <is>
          <t>No</t>
        </is>
      </c>
      <c r="BX43" s="16" t="inlineStr">
        <is>
          <t>Mujer</t>
        </is>
      </c>
      <c r="BY43" s="16" t="n">
        <v>101.8</v>
      </c>
      <c r="BZ43" s="16" t="n">
        <v>1.72</v>
      </c>
      <c r="CA43" s="16" t="n">
        <v>34.4</v>
      </c>
      <c r="CB43" s="16" t="n">
        <v>99</v>
      </c>
      <c r="CC43" s="16" t="n">
        <v>126</v>
      </c>
      <c r="CD43" s="16" t="n">
        <v>80</v>
      </c>
      <c r="CE43" s="16" t="inlineStr">
        <is>
          <t>No</t>
        </is>
      </c>
      <c r="CF43" s="16" t="inlineStr">
        <is>
          <t>Sí</t>
        </is>
      </c>
      <c r="CG43" s="16" t="inlineStr">
        <is>
          <t>No</t>
        </is>
      </c>
      <c r="CH43" s="16" t="inlineStr">
        <is>
          <t>No</t>
        </is>
      </c>
      <c r="CI43" s="16" t="inlineStr">
        <is>
          <t>Sí</t>
        </is>
      </c>
      <c r="CJ43" s="16" t="inlineStr">
        <is>
          <t>No</t>
        </is>
      </c>
      <c r="CK43" s="16" t="inlineStr">
        <is>
          <t>Sí</t>
        </is>
      </c>
      <c r="CL43" s="16" t="inlineStr">
        <is>
          <t>No</t>
        </is>
      </c>
      <c r="CR43" s="16" t="inlineStr">
        <is>
          <t>Sí</t>
        </is>
      </c>
      <c r="CS43" s="16" t="n">
        <v>14</v>
      </c>
      <c r="CT43" s="16" t="inlineStr">
        <is>
          <t>Moderado</t>
        </is>
      </c>
      <c r="CU43" s="16" t="inlineStr">
        <is>
          <t>17 %</t>
        </is>
      </c>
      <c r="CV43" s="16" t="inlineStr">
        <is>
          <t>Sí</t>
        </is>
      </c>
      <c r="CW43" s="16" t="n">
        <v>7</v>
      </c>
      <c r="CX43" s="16" t="inlineStr">
        <is>
          <t>&lt;1</t>
        </is>
      </c>
      <c r="CY43" s="16" t="inlineStr">
        <is>
          <t>Bajo</t>
        </is>
      </c>
    </row>
    <row r="44">
      <c r="A44" s="16" t="inlineStr">
        <is>
          <t>demo-43</t>
        </is>
      </c>
      <c r="B44" s="16" t="inlineStr">
        <is>
          <t>A1-0043</t>
        </is>
      </c>
      <c r="C44" s="16" t="inlineStr">
        <is>
          <t>043-56-4600</t>
        </is>
      </c>
      <c r="D44" s="16" t="n">
        <v>43</v>
      </c>
      <c r="E44" s="16" t="n">
        <v>56</v>
      </c>
      <c r="F44" s="16" t="inlineStr">
        <is>
          <t>4600</t>
        </is>
      </c>
      <c r="G44" s="17" t="n">
        <v>46295</v>
      </c>
      <c r="H44" s="16" t="inlineStr">
        <is>
          <t>14:05</t>
        </is>
      </c>
      <c r="J44" s="16" t="inlineStr">
        <is>
          <t>A</t>
        </is>
      </c>
      <c r="K44" s="16" t="inlineStr">
        <is>
          <t>1</t>
        </is>
      </c>
      <c r="L44" s="16" t="inlineStr">
        <is>
          <t>Encuestador A</t>
        </is>
      </c>
      <c r="M44" s="16" t="inlineStr">
        <is>
          <t>Puesto 1</t>
        </is>
      </c>
      <c r="N44" s="16" t="inlineStr">
        <is>
          <t>Sí</t>
        </is>
      </c>
      <c r="O44" s="16" t="inlineStr">
        <is>
          <t>Sí</t>
        </is>
      </c>
      <c r="P44" s="16" t="n">
        <v>39</v>
      </c>
      <c r="Q44" s="16" t="inlineStr">
        <is>
          <t>Sí</t>
        </is>
      </c>
      <c r="R44" s="16" t="inlineStr">
        <is>
          <t>No</t>
        </is>
      </c>
      <c r="S44" s="16" t="inlineStr">
        <is>
          <t>No</t>
        </is>
      </c>
      <c r="T44" s="16" t="inlineStr">
        <is>
          <t>finalizado</t>
        </is>
      </c>
      <c r="U44" s="16" t="inlineStr">
        <is>
          <t>2026-10-v2</t>
        </is>
      </c>
      <c r="V44" s="16" t="inlineStr">
        <is>
          <t>2026-09-30T15:00:00.000Z</t>
        </is>
      </c>
      <c r="W44" s="16" t="inlineStr">
        <is>
          <t>Argentina</t>
        </is>
      </c>
      <c r="Y44" s="16" t="inlineStr">
        <is>
          <t>Secundaria completa</t>
        </is>
      </c>
      <c r="Z44" s="16" t="inlineStr">
        <is>
          <t>Sí</t>
        </is>
      </c>
      <c r="AA44" s="16" t="inlineStr">
        <is>
          <t>4</t>
        </is>
      </c>
      <c r="AB44" s="16" t="inlineStr">
        <is>
          <t>4</t>
        </is>
      </c>
      <c r="AC44" s="16" t="inlineStr">
        <is>
          <t>Guaraní; Español</t>
        </is>
      </c>
      <c r="AE44" s="16" t="inlineStr">
        <is>
          <t>Español</t>
        </is>
      </c>
      <c r="AG44" s="16" t="inlineStr">
        <is>
          <t>Argentina</t>
        </is>
      </c>
      <c r="AI44" s="16" t="inlineStr">
        <is>
          <t>Malo</t>
        </is>
      </c>
      <c r="AJ44" s="16" t="n">
        <v>22</v>
      </c>
      <c r="AK44" s="16" t="inlineStr">
        <is>
          <t>Viaje internacional</t>
        </is>
      </c>
      <c r="AL44" s="16" t="inlineStr">
        <is>
          <t>Una vez a la semana</t>
        </is>
      </c>
      <c r="AN44" s="16" t="inlineStr">
        <is>
          <t>3 veces por semana</t>
        </is>
      </c>
      <c r="AP44" s="16" t="inlineStr">
        <is>
          <t>Empleado</t>
        </is>
      </c>
      <c r="AR44" s="16" t="inlineStr">
        <is>
          <t>Disconforme</t>
        </is>
      </c>
      <c r="AS44" s="16" t="inlineStr">
        <is>
          <t>Duda</t>
        </is>
      </c>
      <c r="AT44" s="16" t="n">
        <v>3.7</v>
      </c>
      <c r="AU44" s="16" t="inlineStr">
        <is>
          <t>Sí</t>
        </is>
      </c>
      <c r="AV44" s="16" t="inlineStr">
        <is>
          <t>Estaciones de servicio</t>
        </is>
      </c>
      <c r="AX44" s="16" t="n">
        <v>4.9</v>
      </c>
      <c r="AY44" s="16" t="inlineStr">
        <is>
          <t>Nunca</t>
        </is>
      </c>
      <c r="AZ44" s="16" t="inlineStr">
        <is>
          <t>Gaseosas; Jugos artificiales</t>
        </is>
      </c>
      <c r="BB44" s="16" t="inlineStr">
        <is>
          <t>A veces</t>
        </is>
      </c>
      <c r="BC44" s="16" t="inlineStr">
        <is>
          <t>Sí</t>
        </is>
      </c>
      <c r="BD44" s="16" t="inlineStr">
        <is>
          <t>Sí</t>
        </is>
      </c>
      <c r="BE44" s="16" t="inlineStr">
        <is>
          <t>No</t>
        </is>
      </c>
      <c r="BF44" s="16" t="inlineStr">
        <is>
          <t>Obra social</t>
        </is>
      </c>
      <c r="BG44" s="16" t="inlineStr">
        <is>
          <t>Sistema público</t>
        </is>
      </c>
      <c r="BH44" s="16" t="inlineStr">
        <is>
          <t>2 veces al año</t>
        </is>
      </c>
      <c r="BI44" s="16" t="inlineStr">
        <is>
          <t>Sistema público</t>
        </is>
      </c>
      <c r="BJ44" s="16" t="inlineStr">
        <is>
          <t>Sí</t>
        </is>
      </c>
      <c r="BK44" s="16" t="inlineStr">
        <is>
          <t>Lumbar</t>
        </is>
      </c>
      <c r="BL44" s="16" t="inlineStr">
        <is>
          <t>Medicamentos; Hierbas</t>
        </is>
      </c>
      <c r="BM44" s="16" t="inlineStr">
        <is>
          <t>Ibuprofeno</t>
        </is>
      </c>
      <c r="BN44" s="16" t="inlineStr">
        <is>
          <t>No tengo diagnóstico de enfermedad</t>
        </is>
      </c>
      <c r="BP44" s="16" t="inlineStr">
        <is>
          <t>Una vez a la semana</t>
        </is>
      </c>
      <c r="BQ44" s="16" t="inlineStr">
        <is>
          <t>Café; Coca-Cola</t>
        </is>
      </c>
      <c r="BS44" s="16" t="inlineStr">
        <is>
          <t>No</t>
        </is>
      </c>
      <c r="BT44" s="16" t="inlineStr">
        <is>
          <t>No</t>
        </is>
      </c>
      <c r="BU44" s="16" t="inlineStr">
        <is>
          <t>Nunca</t>
        </is>
      </c>
      <c r="BV44" s="16" t="inlineStr">
        <is>
          <t>Sí</t>
        </is>
      </c>
    </row>
    <row r="45">
      <c r="A45" s="16" t="inlineStr">
        <is>
          <t>demo-44</t>
        </is>
      </c>
      <c r="B45" s="16" t="inlineStr">
        <is>
          <t>C1-0044</t>
        </is>
      </c>
      <c r="C45" s="16" t="inlineStr">
        <is>
          <t>443-65-4600</t>
        </is>
      </c>
      <c r="D45" s="16" t="n">
        <v>443</v>
      </c>
      <c r="E45" s="16" t="n">
        <v>65</v>
      </c>
      <c r="F45" s="16" t="inlineStr">
        <is>
          <t>4600</t>
        </is>
      </c>
      <c r="G45" s="17" t="n">
        <v>46289</v>
      </c>
      <c r="H45" s="16" t="inlineStr">
        <is>
          <t>13:08</t>
        </is>
      </c>
      <c r="J45" s="16" t="inlineStr">
        <is>
          <t>C</t>
        </is>
      </c>
      <c r="K45" s="16" t="inlineStr">
        <is>
          <t>1</t>
        </is>
      </c>
      <c r="L45" s="16" t="inlineStr">
        <is>
          <t>Encuestador C</t>
        </is>
      </c>
      <c r="M45" s="16" t="inlineStr">
        <is>
          <t>Puesto 2</t>
        </is>
      </c>
      <c r="N45" s="16" t="inlineStr">
        <is>
          <t>Sí</t>
        </is>
      </c>
      <c r="O45" s="16" t="inlineStr">
        <is>
          <t>No</t>
        </is>
      </c>
      <c r="P45" s="16" t="n">
        <v>38</v>
      </c>
      <c r="Q45" s="16" t="inlineStr">
        <is>
          <t>Sí</t>
        </is>
      </c>
      <c r="R45" s="16" t="inlineStr">
        <is>
          <t>Sí</t>
        </is>
      </c>
      <c r="S45" s="16" t="inlineStr">
        <is>
          <t>No</t>
        </is>
      </c>
      <c r="T45" s="16" t="inlineStr">
        <is>
          <t>finalizado</t>
        </is>
      </c>
      <c r="U45" s="16" t="inlineStr">
        <is>
          <t>2026-10-v2</t>
        </is>
      </c>
      <c r="V45" s="16" t="inlineStr">
        <is>
          <t>2026-09-24T15:00:00.000Z</t>
        </is>
      </c>
      <c r="W45" s="16" t="inlineStr">
        <is>
          <t>Argentina</t>
        </is>
      </c>
      <c r="Y45" s="16" t="inlineStr">
        <is>
          <t>Secundaria incompleta</t>
        </is>
      </c>
      <c r="Z45" s="16" t="inlineStr">
        <is>
          <t>Sí</t>
        </is>
      </c>
      <c r="AA45" s="16" t="inlineStr">
        <is>
          <t>4</t>
        </is>
      </c>
      <c r="AB45" s="16" t="inlineStr">
        <is>
          <t>Más de 5</t>
        </is>
      </c>
      <c r="AC45" s="16" t="inlineStr">
        <is>
          <t>Portugués</t>
        </is>
      </c>
      <c r="AE45" s="16" t="inlineStr">
        <is>
          <t>Español</t>
        </is>
      </c>
      <c r="AG45" s="16" t="inlineStr">
        <is>
          <t>Argentina</t>
        </is>
      </c>
      <c r="AI45" s="16" t="inlineStr">
        <is>
          <t>Muy malo</t>
        </is>
      </c>
      <c r="AJ45" s="16" t="n">
        <v>45</v>
      </c>
      <c r="AK45" s="16" t="inlineStr">
        <is>
          <t>Viaje interprovincial</t>
        </is>
      </c>
      <c r="AL45" s="16" t="inlineStr">
        <is>
          <t>Una vez al mes</t>
        </is>
      </c>
      <c r="AN45" s="16" t="inlineStr">
        <is>
          <t>Diariamente</t>
        </is>
      </c>
      <c r="AP45" s="16" t="inlineStr">
        <is>
          <t>Empleado</t>
        </is>
      </c>
      <c r="AR45" s="16" t="inlineStr">
        <is>
          <t>Parcialmente conforme</t>
        </is>
      </c>
      <c r="AS45" s="16" t="inlineStr">
        <is>
          <t>Sí</t>
        </is>
      </c>
      <c r="AT45" s="16" t="n">
        <v>6.4</v>
      </c>
      <c r="AU45" s="16" t="inlineStr">
        <is>
          <t>Sí</t>
        </is>
      </c>
      <c r="AV45" s="16" t="inlineStr">
        <is>
          <t>Paradores</t>
        </is>
      </c>
      <c r="AX45" s="16" t="n">
        <v>6.7</v>
      </c>
      <c r="AY45" s="16" t="inlineStr">
        <is>
          <t>Todos los días</t>
        </is>
      </c>
      <c r="AZ45" s="16" t="inlineStr">
        <is>
          <t>Café</t>
        </is>
      </c>
      <c r="BB45" s="16" t="inlineStr">
        <is>
          <t>Sí, siempre</t>
        </is>
      </c>
      <c r="BC45" s="16" t="inlineStr">
        <is>
          <t>Rara vez</t>
        </is>
      </c>
      <c r="BD45" s="16" t="inlineStr">
        <is>
          <t>Sí</t>
        </is>
      </c>
      <c r="BE45" s="16" t="inlineStr">
        <is>
          <t>Sí</t>
        </is>
      </c>
      <c r="BF45" s="16" t="inlineStr">
        <is>
          <t>Ninguna</t>
        </is>
      </c>
      <c r="BG45" s="16" t="inlineStr">
        <is>
          <t>Sistema privado</t>
        </is>
      </c>
      <c r="BH45" s="16" t="inlineStr">
        <is>
          <t>Solo cuando me siento mal</t>
        </is>
      </c>
      <c r="BI45" s="16" t="inlineStr">
        <is>
          <t>Sistema público</t>
        </is>
      </c>
      <c r="BJ45" s="16" t="inlineStr">
        <is>
          <t>Sí</t>
        </is>
      </c>
      <c r="BK45" s="16" t="inlineStr">
        <is>
          <t>Rodillas</t>
        </is>
      </c>
      <c r="BL45" s="16" t="inlineStr">
        <is>
          <t>Ninguno</t>
        </is>
      </c>
      <c r="BN45" s="16" t="inlineStr">
        <is>
          <t>No tengo diagnóstico de enfermedad</t>
        </is>
      </c>
      <c r="BP45" s="16" t="inlineStr">
        <is>
          <t>Rara vez</t>
        </is>
      </c>
      <c r="BQ45" s="16" t="inlineStr">
        <is>
          <t>Energizantes (Speed, Monster, Red Bull, etc.)</t>
        </is>
      </c>
      <c r="BS45" s="16" t="inlineStr">
        <is>
          <t>Sí</t>
        </is>
      </c>
      <c r="BT45" s="16" t="inlineStr">
        <is>
          <t>Sí</t>
        </is>
      </c>
      <c r="BU45" s="16" t="inlineStr">
        <is>
          <t>Nunca</t>
        </is>
      </c>
      <c r="BV45" s="16" t="inlineStr">
        <is>
          <t>Sí</t>
        </is>
      </c>
      <c r="BW45" s="16" t="inlineStr">
        <is>
          <t>No</t>
        </is>
      </c>
      <c r="BX45" s="16" t="inlineStr">
        <is>
          <t>Varón</t>
        </is>
      </c>
      <c r="BY45" s="16" t="n">
        <v>109.3</v>
      </c>
      <c r="BZ45" s="16" t="n">
        <v>1.79</v>
      </c>
      <c r="CA45" s="16" t="n">
        <v>34.1</v>
      </c>
      <c r="CB45" s="16" t="n">
        <v>109</v>
      </c>
      <c r="CC45" s="16" t="n">
        <v>126</v>
      </c>
      <c r="CD45" s="16" t="n">
        <v>80</v>
      </c>
      <c r="CE45" s="16" t="inlineStr">
        <is>
          <t>No</t>
        </is>
      </c>
      <c r="CF45" s="16" t="inlineStr">
        <is>
          <t>No</t>
        </is>
      </c>
      <c r="CG45" s="16" t="inlineStr">
        <is>
          <t>Sí</t>
        </is>
      </c>
      <c r="CH45" s="16" t="inlineStr">
        <is>
          <t>No</t>
        </is>
      </c>
      <c r="CI45" s="16" t="inlineStr">
        <is>
          <t>No</t>
        </is>
      </c>
      <c r="CJ45" s="16" t="inlineStr">
        <is>
          <t>Sí, parientes lejanos</t>
        </is>
      </c>
      <c r="CK45" s="16" t="inlineStr">
        <is>
          <t>Sí</t>
        </is>
      </c>
      <c r="CL45" s="16" t="inlineStr">
        <is>
          <t>No</t>
        </is>
      </c>
      <c r="CR45" s="16" t="inlineStr">
        <is>
          <t>Sí</t>
        </is>
      </c>
      <c r="CS45" s="16" t="n">
        <v>17</v>
      </c>
      <c r="CT45" s="16" t="inlineStr">
        <is>
          <t>Alto</t>
        </is>
      </c>
      <c r="CU45" s="16" t="inlineStr">
        <is>
          <t>33 %</t>
        </is>
      </c>
      <c r="CV45" s="16" t="inlineStr">
        <is>
          <t>Sí</t>
        </is>
      </c>
      <c r="CW45" s="16" t="n">
        <v>14</v>
      </c>
      <c r="CX45" s="16" t="inlineStr">
        <is>
          <t>16</t>
        </is>
      </c>
      <c r="CY45" s="16" t="inlineStr">
        <is>
          <t>Moderado</t>
        </is>
      </c>
    </row>
    <row r="46">
      <c r="A46" s="16" t="inlineStr">
        <is>
          <t>demo-45</t>
        </is>
      </c>
      <c r="B46" s="16" t="inlineStr">
        <is>
          <t>B1-0045</t>
        </is>
      </c>
      <c r="C46" s="16" t="inlineStr">
        <is>
          <t>244-30-4630</t>
        </is>
      </c>
      <c r="D46" s="16" t="n">
        <v>244</v>
      </c>
      <c r="E46" s="16" t="n">
        <v>30</v>
      </c>
      <c r="F46" s="16" t="inlineStr">
        <is>
          <t>4630</t>
        </is>
      </c>
      <c r="G46" s="17" t="n">
        <v>46290</v>
      </c>
      <c r="H46" s="16" t="inlineStr">
        <is>
          <t>14:05</t>
        </is>
      </c>
      <c r="J46" s="16" t="inlineStr">
        <is>
          <t>B</t>
        </is>
      </c>
      <c r="K46" s="16" t="inlineStr">
        <is>
          <t>1</t>
        </is>
      </c>
      <c r="L46" s="16" t="inlineStr">
        <is>
          <t>Encuestador B</t>
        </is>
      </c>
      <c r="M46" s="16" t="inlineStr">
        <is>
          <t>Puesto 2</t>
        </is>
      </c>
      <c r="N46" s="16" t="inlineStr">
        <is>
          <t>Sí</t>
        </is>
      </c>
      <c r="O46" s="16" t="inlineStr">
        <is>
          <t>Sí</t>
        </is>
      </c>
      <c r="P46" s="16" t="n">
        <v>39</v>
      </c>
      <c r="Q46" s="16" t="inlineStr">
        <is>
          <t>Sí</t>
        </is>
      </c>
      <c r="R46" s="16" t="inlineStr">
        <is>
          <t>Sí</t>
        </is>
      </c>
      <c r="S46" s="16" t="inlineStr">
        <is>
          <t>No</t>
        </is>
      </c>
      <c r="T46" s="16" t="inlineStr">
        <is>
          <t>finalizado</t>
        </is>
      </c>
      <c r="U46" s="16" t="inlineStr">
        <is>
          <t>2026-10-v2</t>
        </is>
      </c>
      <c r="V46" s="16" t="inlineStr">
        <is>
          <t>2026-09-25T15:00:00.000Z</t>
        </is>
      </c>
      <c r="W46" s="16" t="inlineStr">
        <is>
          <t>Brasil</t>
        </is>
      </c>
      <c r="Y46" s="16" t="inlineStr">
        <is>
          <t>Secundaria completa</t>
        </is>
      </c>
      <c r="Z46" s="16" t="inlineStr">
        <is>
          <t>No</t>
        </is>
      </c>
      <c r="AA46" s="16" t="inlineStr">
        <is>
          <t>5</t>
        </is>
      </c>
      <c r="AB46" s="16" t="inlineStr">
        <is>
          <t>3</t>
        </is>
      </c>
      <c r="AC46" s="16" t="inlineStr">
        <is>
          <t>Inglés</t>
        </is>
      </c>
      <c r="AE46" s="16" t="inlineStr">
        <is>
          <t>Español</t>
        </is>
      </c>
      <c r="AG46" s="16" t="inlineStr">
        <is>
          <t>Argentina</t>
        </is>
      </c>
      <c r="AI46" s="16" t="inlineStr">
        <is>
          <t>Muy malo</t>
        </is>
      </c>
      <c r="AJ46" s="16" t="n">
        <v>2</v>
      </c>
      <c r="AK46" s="16" t="inlineStr">
        <is>
          <t>Viaje interprovincial</t>
        </is>
      </c>
      <c r="AL46" s="16" t="inlineStr">
        <is>
          <t>2 veces por semana</t>
        </is>
      </c>
      <c r="AN46" s="16" t="inlineStr">
        <is>
          <t>2 veces por semana</t>
        </is>
      </c>
      <c r="AP46" s="16" t="inlineStr">
        <is>
          <t>Empleado</t>
        </is>
      </c>
      <c r="AR46" s="16" t="inlineStr">
        <is>
          <t>Conforme</t>
        </is>
      </c>
      <c r="AS46" s="16" t="inlineStr">
        <is>
          <t>No</t>
        </is>
      </c>
      <c r="AT46" s="16" t="n">
        <v>6.7</v>
      </c>
      <c r="AU46" s="16" t="inlineStr">
        <is>
          <t>Sí</t>
        </is>
      </c>
      <c r="AV46" s="16" t="inlineStr">
        <is>
          <t>Estaciones de servicio</t>
        </is>
      </c>
      <c r="AX46" s="16" t="n">
        <v>6.7</v>
      </c>
      <c r="AY46" s="16" t="inlineStr">
        <is>
          <t>Casi nunca</t>
        </is>
      </c>
      <c r="AZ46" s="16" t="inlineStr">
        <is>
          <t>Café; Mate</t>
        </is>
      </c>
      <c r="BB46" s="16" t="inlineStr">
        <is>
          <t>A veces</t>
        </is>
      </c>
      <c r="BC46" s="16" t="inlineStr">
        <is>
          <t>Algunas veces</t>
        </is>
      </c>
      <c r="BD46" s="16" t="inlineStr">
        <is>
          <t>No</t>
        </is>
      </c>
      <c r="BE46" s="16" t="inlineStr">
        <is>
          <t>Parcialmente</t>
        </is>
      </c>
      <c r="BF46" s="16" t="inlineStr">
        <is>
          <t>Obra social</t>
        </is>
      </c>
      <c r="BG46" s="16" t="inlineStr">
        <is>
          <t>Sistema público</t>
        </is>
      </c>
      <c r="BH46" s="16" t="inlineStr">
        <is>
          <t>Nunca</t>
        </is>
      </c>
      <c r="BI46" s="16" t="inlineStr">
        <is>
          <t>Sistema público</t>
        </is>
      </c>
      <c r="BJ46" s="16" t="inlineStr">
        <is>
          <t>Sí</t>
        </is>
      </c>
      <c r="BK46" s="16" t="inlineStr">
        <is>
          <t>Rodillas</t>
        </is>
      </c>
      <c r="BL46" s="16" t="inlineStr">
        <is>
          <t>Medicamentos</t>
        </is>
      </c>
      <c r="BM46" s="16" t="inlineStr">
        <is>
          <t>Ibuprofeno</t>
        </is>
      </c>
      <c r="BN46" s="16" t="inlineStr">
        <is>
          <t>No tengo diagnóstico de enfermedad</t>
        </is>
      </c>
      <c r="BP46" s="16" t="inlineStr">
        <is>
          <t>2 a 3 veces por semana</t>
        </is>
      </c>
      <c r="BQ46" s="16" t="inlineStr">
        <is>
          <t>Café</t>
        </is>
      </c>
      <c r="BS46" s="16" t="inlineStr">
        <is>
          <t>Sí</t>
        </is>
      </c>
      <c r="BT46" s="16" t="inlineStr">
        <is>
          <t>Sí</t>
        </is>
      </c>
      <c r="BU46" s="16" t="inlineStr">
        <is>
          <t>Siempre</t>
        </is>
      </c>
      <c r="BV46" s="16" t="inlineStr">
        <is>
          <t>No</t>
        </is>
      </c>
      <c r="BW46" s="16" t="inlineStr">
        <is>
          <t>Sí</t>
        </is>
      </c>
      <c r="BX46" s="16" t="inlineStr">
        <is>
          <t>Varón</t>
        </is>
      </c>
      <c r="BY46" s="16" t="n">
        <v>82.3</v>
      </c>
      <c r="BZ46" s="16" t="n">
        <v>1.73</v>
      </c>
      <c r="CA46" s="16" t="n">
        <v>27.5</v>
      </c>
      <c r="CB46" s="16" t="n">
        <v>92</v>
      </c>
      <c r="CC46" s="16" t="n">
        <v>145</v>
      </c>
      <c r="CD46" s="16" t="n">
        <v>92</v>
      </c>
      <c r="CE46" s="16" t="inlineStr">
        <is>
          <t>No</t>
        </is>
      </c>
      <c r="CF46" s="16" t="inlineStr">
        <is>
          <t>Sí</t>
        </is>
      </c>
      <c r="CG46" s="16" t="inlineStr">
        <is>
          <t>Sí</t>
        </is>
      </c>
      <c r="CH46" s="16" t="inlineStr">
        <is>
          <t>Sí</t>
        </is>
      </c>
      <c r="CI46" s="16" t="inlineStr">
        <is>
          <t>No</t>
        </is>
      </c>
      <c r="CJ46" s="16" t="inlineStr">
        <is>
          <t>No</t>
        </is>
      </c>
      <c r="CK46" s="16" t="inlineStr">
        <is>
          <t>No</t>
        </is>
      </c>
      <c r="CL46" s="16" t="inlineStr">
        <is>
          <t>No</t>
        </is>
      </c>
      <c r="CR46" s="16" t="inlineStr">
        <is>
          <t>No</t>
        </is>
      </c>
      <c r="CV46" s="16" t="inlineStr">
        <is>
          <t>Sí</t>
        </is>
      </c>
      <c r="CW46" s="16" t="n">
        <v>-3</v>
      </c>
      <c r="CX46" s="16" t="inlineStr">
        <is>
          <t>&lt;1</t>
        </is>
      </c>
      <c r="CY46" s="16" t="inlineStr">
        <is>
          <t>Bajo</t>
        </is>
      </c>
    </row>
    <row r="47">
      <c r="A47" s="16" t="inlineStr">
        <is>
          <t>demo-46</t>
        </is>
      </c>
      <c r="B47" s="16" t="inlineStr">
        <is>
          <t>C1-0046</t>
        </is>
      </c>
      <c r="C47" s="16" t="inlineStr">
        <is>
          <t>445-31-4630</t>
        </is>
      </c>
      <c r="D47" s="16" t="n">
        <v>445</v>
      </c>
      <c r="E47" s="16" t="n">
        <v>31</v>
      </c>
      <c r="F47" s="16" t="inlineStr">
        <is>
          <t>4630</t>
        </is>
      </c>
      <c r="G47" s="17" t="n">
        <v>46296</v>
      </c>
      <c r="H47" s="16" t="inlineStr">
        <is>
          <t>13:07</t>
        </is>
      </c>
      <c r="J47" s="16" t="inlineStr">
        <is>
          <t>C</t>
        </is>
      </c>
      <c r="K47" s="16" t="inlineStr">
        <is>
          <t>1</t>
        </is>
      </c>
      <c r="L47" s="16" t="inlineStr">
        <is>
          <t>Encuestador C</t>
        </is>
      </c>
      <c r="M47" s="16" t="inlineStr">
        <is>
          <t>Puesto 2</t>
        </is>
      </c>
      <c r="N47" s="16" t="inlineStr">
        <is>
          <t>Sí</t>
        </is>
      </c>
      <c r="O47" s="16" t="inlineStr">
        <is>
          <t>Sí</t>
        </is>
      </c>
      <c r="P47" s="16" t="n">
        <v>38</v>
      </c>
      <c r="Q47" s="16" t="inlineStr">
        <is>
          <t>Sí</t>
        </is>
      </c>
      <c r="R47" s="16" t="inlineStr">
        <is>
          <t>Sí</t>
        </is>
      </c>
      <c r="S47" s="16" t="inlineStr">
        <is>
          <t>Sí</t>
        </is>
      </c>
      <c r="T47" s="16" t="inlineStr">
        <is>
          <t>finalizado</t>
        </is>
      </c>
      <c r="U47" s="16" t="inlineStr">
        <is>
          <t>2026-10-v2</t>
        </is>
      </c>
      <c r="V47" s="16" t="inlineStr">
        <is>
          <t>2026-10-01T15:00:00.000Z</t>
        </is>
      </c>
      <c r="W47" s="16" t="inlineStr">
        <is>
          <t>Argentina</t>
        </is>
      </c>
      <c r="Y47" s="16" t="inlineStr">
        <is>
          <t>Secundaria completa</t>
        </is>
      </c>
      <c r="Z47" s="16" t="inlineStr">
        <is>
          <t>Sí</t>
        </is>
      </c>
      <c r="AA47" s="16" t="inlineStr">
        <is>
          <t>4</t>
        </is>
      </c>
      <c r="AB47" s="16" t="inlineStr">
        <is>
          <t>1</t>
        </is>
      </c>
      <c r="AC47" s="16" t="inlineStr">
        <is>
          <t>Español</t>
        </is>
      </c>
      <c r="AE47" s="16" t="inlineStr">
        <is>
          <t>Español</t>
        </is>
      </c>
      <c r="AG47" s="16" t="inlineStr">
        <is>
          <t>Argentina</t>
        </is>
      </c>
      <c r="AI47" s="16" t="inlineStr">
        <is>
          <t>Bueno</t>
        </is>
      </c>
      <c r="AJ47" s="16" t="n">
        <v>8</v>
      </c>
      <c r="AK47" s="16" t="inlineStr">
        <is>
          <t>Viaje provincial (Jujuy)</t>
        </is>
      </c>
      <c r="AL47" s="16" t="inlineStr">
        <is>
          <t>Una vez al mes</t>
        </is>
      </c>
      <c r="AN47" s="16" t="inlineStr">
        <is>
          <t>Diariamente</t>
        </is>
      </c>
      <c r="AP47" s="16" t="inlineStr">
        <is>
          <t>Empleado</t>
        </is>
      </c>
      <c r="AR47" s="16" t="inlineStr">
        <is>
          <t>Conforme</t>
        </is>
      </c>
      <c r="AS47" s="16" t="inlineStr">
        <is>
          <t>Sí</t>
        </is>
      </c>
      <c r="AT47" s="16" t="n">
        <v>8.4</v>
      </c>
      <c r="AU47" s="16" t="inlineStr">
        <is>
          <t>Sí</t>
        </is>
      </c>
      <c r="AV47" s="16" t="inlineStr">
        <is>
          <t>En el camión al costado de la ruta; Estaciones de servicio</t>
        </is>
      </c>
      <c r="AX47" s="16" t="n">
        <v>4.5</v>
      </c>
      <c r="AY47" s="16" t="inlineStr">
        <is>
          <t>Varias veces por semana</t>
        </is>
      </c>
      <c r="AZ47" s="16" t="inlineStr">
        <is>
          <t>Mate</t>
        </is>
      </c>
      <c r="BB47" s="16" t="inlineStr">
        <is>
          <t>Casi nunca</t>
        </is>
      </c>
      <c r="BC47" s="16" t="inlineStr">
        <is>
          <t>Rara vez</t>
        </is>
      </c>
      <c r="BD47" s="16" t="inlineStr">
        <is>
          <t>No</t>
        </is>
      </c>
      <c r="BE47" s="16" t="inlineStr">
        <is>
          <t>No</t>
        </is>
      </c>
      <c r="BF47" s="16" t="inlineStr">
        <is>
          <t>Obra social</t>
        </is>
      </c>
      <c r="BG47" s="16" t="inlineStr">
        <is>
          <t>Ninguno</t>
        </is>
      </c>
      <c r="BH47" s="16" t="inlineStr">
        <is>
          <t>Nunca</t>
        </is>
      </c>
      <c r="BI47" s="16" t="inlineStr">
        <is>
          <t>Sistema privado</t>
        </is>
      </c>
      <c r="BJ47" s="16" t="inlineStr">
        <is>
          <t>Sí</t>
        </is>
      </c>
      <c r="BK47" s="16" t="inlineStr">
        <is>
          <t>Lumbar</t>
        </is>
      </c>
      <c r="BL47" s="16" t="inlineStr">
        <is>
          <t>Ninguno</t>
        </is>
      </c>
      <c r="BN47" s="16" t="inlineStr">
        <is>
          <t>Musculoesqueléticos</t>
        </is>
      </c>
      <c r="BP47" s="16" t="inlineStr">
        <is>
          <t>2 a 3 veces por semana</t>
        </is>
      </c>
      <c r="BQ47" s="16" t="inlineStr">
        <is>
          <t>Café; Coca-Cola</t>
        </is>
      </c>
      <c r="BS47" s="16" t="inlineStr">
        <is>
          <t>No</t>
        </is>
      </c>
      <c r="BT47" s="16" t="inlineStr">
        <is>
          <t>No</t>
        </is>
      </c>
      <c r="BU47" s="16" t="inlineStr">
        <is>
          <t>A veces</t>
        </is>
      </c>
      <c r="BV47" s="16" t="inlineStr">
        <is>
          <t>No</t>
        </is>
      </c>
      <c r="BW47" s="16" t="inlineStr">
        <is>
          <t>No</t>
        </is>
      </c>
      <c r="BX47" s="16" t="inlineStr">
        <is>
          <t>Varón</t>
        </is>
      </c>
      <c r="BY47" s="16" t="n">
        <v>77</v>
      </c>
      <c r="BZ47" s="16" t="n">
        <v>1.61</v>
      </c>
      <c r="CA47" s="16" t="n">
        <v>29.7</v>
      </c>
      <c r="CB47" s="16" t="n">
        <v>108</v>
      </c>
      <c r="CC47" s="16" t="n">
        <v>116</v>
      </c>
      <c r="CD47" s="16" t="n">
        <v>74</v>
      </c>
      <c r="CE47" s="16" t="inlineStr">
        <is>
          <t>Sí</t>
        </is>
      </c>
      <c r="CF47" s="16" t="inlineStr">
        <is>
          <t>Sí</t>
        </is>
      </c>
      <c r="CG47" s="16" t="inlineStr">
        <is>
          <t>Sí</t>
        </is>
      </c>
      <c r="CH47" s="16" t="inlineStr">
        <is>
          <t>No</t>
        </is>
      </c>
      <c r="CI47" s="16" t="inlineStr">
        <is>
          <t>No</t>
        </is>
      </c>
      <c r="CJ47" s="16" t="inlineStr">
        <is>
          <t>No</t>
        </is>
      </c>
      <c r="CK47" s="16" t="inlineStr">
        <is>
          <t>No</t>
        </is>
      </c>
      <c r="CL47" s="16" t="inlineStr">
        <is>
          <t>Sí</t>
        </is>
      </c>
      <c r="CM47" s="16" t="inlineStr">
        <is>
          <t>07:29</t>
        </is>
      </c>
      <c r="CN47" s="16" t="inlineStr">
        <is>
          <t>Mate</t>
        </is>
      </c>
      <c r="CO47" s="16" t="inlineStr">
        <is>
          <t>14:30</t>
        </is>
      </c>
      <c r="CP47" s="16" t="n">
        <v>150</v>
      </c>
      <c r="CQ47" s="16" t="n">
        <v>421</v>
      </c>
      <c r="CR47" s="16" t="inlineStr">
        <is>
          <t>Sí</t>
        </is>
      </c>
      <c r="CS47" s="16" t="n">
        <v>5</v>
      </c>
      <c r="CT47" s="16" t="inlineStr">
        <is>
          <t>Bajo</t>
        </is>
      </c>
      <c r="CU47" s="16" t="inlineStr">
        <is>
          <t>1 %</t>
        </is>
      </c>
      <c r="CV47" s="16" t="inlineStr">
        <is>
          <t>Sí</t>
        </is>
      </c>
      <c r="CW47" s="16" t="n">
        <v>-8</v>
      </c>
      <c r="CX47" s="16" t="inlineStr">
        <is>
          <t>&lt;1</t>
        </is>
      </c>
      <c r="CY47" s="16" t="inlineStr">
        <is>
          <t>Bajo</t>
        </is>
      </c>
    </row>
    <row r="48">
      <c r="A48" s="16" t="inlineStr">
        <is>
          <t>demo-47</t>
        </is>
      </c>
      <c r="B48" s="16" t="inlineStr">
        <is>
          <t>C1-0047</t>
        </is>
      </c>
      <c r="C48" s="16" t="inlineStr">
        <is>
          <t>446-26-4600</t>
        </is>
      </c>
      <c r="D48" s="16" t="n">
        <v>446</v>
      </c>
      <c r="E48" s="16" t="n">
        <v>26</v>
      </c>
      <c r="F48" s="16" t="inlineStr">
        <is>
          <t>4600</t>
        </is>
      </c>
      <c r="G48" s="17" t="n">
        <v>46296</v>
      </c>
      <c r="H48" s="16" t="inlineStr">
        <is>
          <t>12:02</t>
        </is>
      </c>
      <c r="J48" s="16" t="inlineStr">
        <is>
          <t>C</t>
        </is>
      </c>
      <c r="K48" s="16" t="inlineStr">
        <is>
          <t>1</t>
        </is>
      </c>
      <c r="L48" s="16" t="inlineStr">
        <is>
          <t>Encuestador C</t>
        </is>
      </c>
      <c r="M48" s="16" t="inlineStr">
        <is>
          <t>Puesto 2</t>
        </is>
      </c>
      <c r="N48" s="16" t="inlineStr">
        <is>
          <t>Sí</t>
        </is>
      </c>
      <c r="O48" s="16" t="inlineStr">
        <is>
          <t>Sí</t>
        </is>
      </c>
      <c r="P48" s="16" t="n">
        <v>39</v>
      </c>
      <c r="Q48" s="16" t="inlineStr">
        <is>
          <t>Sí</t>
        </is>
      </c>
      <c r="R48" s="16" t="inlineStr">
        <is>
          <t>Sí</t>
        </is>
      </c>
      <c r="S48" s="16" t="inlineStr">
        <is>
          <t>Sí</t>
        </is>
      </c>
      <c r="T48" s="16" t="inlineStr">
        <is>
          <t>finalizado</t>
        </is>
      </c>
      <c r="U48" s="16" t="inlineStr">
        <is>
          <t>2026-10-v2</t>
        </is>
      </c>
      <c r="V48" s="16" t="inlineStr">
        <is>
          <t>2026-10-01T15:00:00.000Z</t>
        </is>
      </c>
      <c r="W48" s="16" t="inlineStr">
        <is>
          <t>Argentina</t>
        </is>
      </c>
      <c r="Y48" s="16" t="inlineStr">
        <is>
          <t>Primaria completa</t>
        </is>
      </c>
      <c r="Z48" s="16" t="inlineStr">
        <is>
          <t>Sí</t>
        </is>
      </c>
      <c r="AA48" s="16" t="inlineStr">
        <is>
          <t>Más de 5</t>
        </is>
      </c>
      <c r="AB48" s="16" t="inlineStr">
        <is>
          <t>3</t>
        </is>
      </c>
      <c r="AC48" s="16" t="inlineStr">
        <is>
          <t>Inglés; Portugués</t>
        </is>
      </c>
      <c r="AE48" s="16" t="inlineStr">
        <is>
          <t>Español</t>
        </is>
      </c>
      <c r="AG48" s="16" t="inlineStr">
        <is>
          <t>Argentina</t>
        </is>
      </c>
      <c r="AI48" s="16" t="inlineStr">
        <is>
          <t>Regular</t>
        </is>
      </c>
      <c r="AJ48" s="16" t="n">
        <v>2</v>
      </c>
      <c r="AK48" s="16" t="inlineStr">
        <is>
          <t>Viaje interprovincial</t>
        </is>
      </c>
      <c r="AL48" s="16" t="inlineStr">
        <is>
          <t>2 veces por semana</t>
        </is>
      </c>
      <c r="AN48" s="16" t="inlineStr">
        <is>
          <t>Diariamente</t>
        </is>
      </c>
      <c r="AP48" s="16" t="inlineStr">
        <is>
          <t>Empleado</t>
        </is>
      </c>
      <c r="AR48" s="16" t="inlineStr">
        <is>
          <t>Parcialmente conforme</t>
        </is>
      </c>
      <c r="AS48" s="16" t="inlineStr">
        <is>
          <t>Duda</t>
        </is>
      </c>
      <c r="AT48" s="16" t="n">
        <v>3</v>
      </c>
      <c r="AU48" s="16" t="inlineStr">
        <is>
          <t>Sí</t>
        </is>
      </c>
      <c r="AV48" s="16" t="inlineStr">
        <is>
          <t>Estaciones de servicio; Paradores</t>
        </is>
      </c>
      <c r="AX48" s="16" t="n">
        <v>7.9</v>
      </c>
      <c r="AY48" s="16" t="inlineStr">
        <is>
          <t>Nunca</t>
        </is>
      </c>
      <c r="AZ48" s="16" t="inlineStr">
        <is>
          <t>Agua</t>
        </is>
      </c>
      <c r="BB48" s="16" t="inlineStr">
        <is>
          <t>Casi nunca</t>
        </is>
      </c>
      <c r="BC48" s="16" t="inlineStr">
        <is>
          <t>Rara vez</t>
        </is>
      </c>
      <c r="BD48" s="16" t="inlineStr">
        <is>
          <t>No</t>
        </is>
      </c>
      <c r="BE48" s="16" t="inlineStr">
        <is>
          <t>Sí</t>
        </is>
      </c>
      <c r="BF48" s="16" t="inlineStr">
        <is>
          <t>Ninguna</t>
        </is>
      </c>
      <c r="BG48" s="16" t="inlineStr">
        <is>
          <t>Sistema privado</t>
        </is>
      </c>
      <c r="BH48" s="16" t="inlineStr">
        <is>
          <t>Solo cuando me siento mal</t>
        </is>
      </c>
      <c r="BI48" s="16" t="inlineStr">
        <is>
          <t>Sistema público; Otros (medicina tradicional, alternativa, etc.)</t>
        </is>
      </c>
      <c r="BJ48" s="16" t="inlineStr">
        <is>
          <t>No</t>
        </is>
      </c>
      <c r="BL48" s="16" t="inlineStr">
        <is>
          <t>Medicamentos; Hierbas</t>
        </is>
      </c>
      <c r="BM48" s="16" t="inlineStr">
        <is>
          <t>Ibuprofeno</t>
        </is>
      </c>
      <c r="BN48" s="16" t="inlineStr">
        <is>
          <t>Obesidad</t>
        </is>
      </c>
      <c r="BP48" s="16" t="inlineStr">
        <is>
          <t>2 a 3 veces por semana</t>
        </is>
      </c>
      <c r="BQ48" s="16" t="inlineStr">
        <is>
          <t>Café; Coca-Cola</t>
        </is>
      </c>
      <c r="BS48" s="16" t="inlineStr">
        <is>
          <t>Sí</t>
        </is>
      </c>
      <c r="BT48" s="16" t="inlineStr">
        <is>
          <t>Sí</t>
        </is>
      </c>
      <c r="BU48" s="16" t="inlineStr">
        <is>
          <t>Siempre</t>
        </is>
      </c>
      <c r="BV48" s="16" t="inlineStr">
        <is>
          <t>Sí</t>
        </is>
      </c>
      <c r="BW48" s="16" t="inlineStr">
        <is>
          <t>No</t>
        </is>
      </c>
      <c r="BX48" s="16" t="inlineStr">
        <is>
          <t>Varón</t>
        </is>
      </c>
      <c r="BY48" s="16" t="n">
        <v>68.8</v>
      </c>
      <c r="BZ48" s="16" t="n">
        <v>1.63</v>
      </c>
      <c r="CA48" s="16" t="n">
        <v>25.9</v>
      </c>
      <c r="CB48" s="16" t="n">
        <v>97</v>
      </c>
      <c r="CC48" s="16" t="n">
        <v>110</v>
      </c>
      <c r="CD48" s="16" t="n">
        <v>70</v>
      </c>
      <c r="CE48" s="16" t="inlineStr">
        <is>
          <t>Sí</t>
        </is>
      </c>
      <c r="CF48" s="16" t="inlineStr">
        <is>
          <t>No</t>
        </is>
      </c>
      <c r="CG48" s="16" t="inlineStr">
        <is>
          <t>Sí</t>
        </is>
      </c>
      <c r="CH48" s="16" t="inlineStr">
        <is>
          <t>No</t>
        </is>
      </c>
      <c r="CI48" s="16" t="inlineStr">
        <is>
          <t>No</t>
        </is>
      </c>
      <c r="CJ48" s="16" t="inlineStr">
        <is>
          <t>Sí, parientes lejanos</t>
        </is>
      </c>
      <c r="CK48" s="16" t="inlineStr">
        <is>
          <t>Sí</t>
        </is>
      </c>
      <c r="CL48" s="16" t="inlineStr">
        <is>
          <t>Sí</t>
        </is>
      </c>
      <c r="CM48" s="16" t="inlineStr">
        <is>
          <t>07:18</t>
        </is>
      </c>
      <c r="CN48" s="16" t="inlineStr">
        <is>
          <t>Mate</t>
        </is>
      </c>
      <c r="CO48" s="16" t="inlineStr">
        <is>
          <t>13:30</t>
        </is>
      </c>
      <c r="CP48" s="16" t="n">
        <v>87</v>
      </c>
      <c r="CQ48" s="16" t="n">
        <v>372</v>
      </c>
      <c r="CR48" s="16" t="inlineStr">
        <is>
          <t>Sí</t>
        </is>
      </c>
      <c r="CS48" s="16" t="n">
        <v>8</v>
      </c>
      <c r="CT48" s="16" t="inlineStr">
        <is>
          <t>Ligeramente elevado</t>
        </is>
      </c>
      <c r="CU48" s="16" t="inlineStr">
        <is>
          <t>4 %</t>
        </is>
      </c>
      <c r="CV48" s="16" t="inlineStr">
        <is>
          <t>Sí</t>
        </is>
      </c>
      <c r="CW48" s="16" t="n">
        <v>0</v>
      </c>
      <c r="CX48" s="16" t="inlineStr">
        <is>
          <t>1</t>
        </is>
      </c>
      <c r="CY48" s="16" t="inlineStr">
        <is>
          <t>Bajo</t>
        </is>
      </c>
    </row>
    <row r="49">
      <c r="A49" s="16" t="inlineStr">
        <is>
          <t>demo-48</t>
        </is>
      </c>
      <c r="B49" s="16" t="inlineStr">
        <is>
          <t>C1-0048</t>
        </is>
      </c>
      <c r="C49" s="16" t="inlineStr">
        <is>
          <t>447-61-4500</t>
        </is>
      </c>
      <c r="D49" s="16" t="n">
        <v>447</v>
      </c>
      <c r="E49" s="16" t="n">
        <v>61</v>
      </c>
      <c r="F49" s="16" t="inlineStr">
        <is>
          <t>4500</t>
        </is>
      </c>
      <c r="G49" s="17" t="n">
        <v>46290</v>
      </c>
      <c r="H49" s="16" t="inlineStr">
        <is>
          <t>11:01</t>
        </is>
      </c>
      <c r="J49" s="16" t="inlineStr">
        <is>
          <t>C</t>
        </is>
      </c>
      <c r="K49" s="16" t="inlineStr">
        <is>
          <t>1</t>
        </is>
      </c>
      <c r="L49" s="16" t="inlineStr">
        <is>
          <t>Encuestador C</t>
        </is>
      </c>
      <c r="M49" s="16" t="inlineStr">
        <is>
          <t>Puesto 1</t>
        </is>
      </c>
      <c r="N49" s="16" t="inlineStr">
        <is>
          <t>Sí</t>
        </is>
      </c>
      <c r="O49" s="16" t="inlineStr">
        <is>
          <t>Sí</t>
        </is>
      </c>
      <c r="P49" s="16" t="n">
        <v>38</v>
      </c>
      <c r="Q49" s="16" t="inlineStr">
        <is>
          <t>Sí</t>
        </is>
      </c>
      <c r="R49" s="16" t="inlineStr">
        <is>
          <t>Sí</t>
        </is>
      </c>
      <c r="S49" s="16" t="inlineStr">
        <is>
          <t>Sí</t>
        </is>
      </c>
      <c r="T49" s="16" t="inlineStr">
        <is>
          <t>finalizado</t>
        </is>
      </c>
      <c r="U49" s="16" t="inlineStr">
        <is>
          <t>2026-10-v2</t>
        </is>
      </c>
      <c r="V49" s="16" t="inlineStr">
        <is>
          <t>2026-09-25T15:00:00.000Z</t>
        </is>
      </c>
      <c r="W49" s="16" t="inlineStr">
        <is>
          <t>Chile</t>
        </is>
      </c>
      <c r="Y49" s="16" t="inlineStr">
        <is>
          <t>Secundaria incompleta</t>
        </is>
      </c>
      <c r="Z49" s="16" t="inlineStr">
        <is>
          <t>No</t>
        </is>
      </c>
      <c r="AA49" s="16" t="inlineStr">
        <is>
          <t>3</t>
        </is>
      </c>
      <c r="AB49" s="16" t="inlineStr">
        <is>
          <t>4</t>
        </is>
      </c>
      <c r="AC49" s="16" t="inlineStr">
        <is>
          <t>Guaraní</t>
        </is>
      </c>
      <c r="AE49" s="16" t="inlineStr">
        <is>
          <t>Español</t>
        </is>
      </c>
      <c r="AG49" s="16" t="inlineStr">
        <is>
          <t>Argentina</t>
        </is>
      </c>
      <c r="AI49" s="16" t="inlineStr">
        <is>
          <t>Bueno</t>
        </is>
      </c>
      <c r="AJ49" s="16" t="n">
        <v>6</v>
      </c>
      <c r="AK49" s="16" t="inlineStr">
        <is>
          <t>Viaje provincial (Jujuy)</t>
        </is>
      </c>
      <c r="AL49" s="16" t="inlineStr">
        <is>
          <t>Una vez al mes</t>
        </is>
      </c>
      <c r="AN49" s="16" t="inlineStr">
        <is>
          <t>Diariamente</t>
        </is>
      </c>
      <c r="AP49" s="16" t="inlineStr">
        <is>
          <t>Empleado</t>
        </is>
      </c>
      <c r="AR49" s="16" t="inlineStr">
        <is>
          <t>Conforme</t>
        </is>
      </c>
      <c r="AS49" s="16" t="inlineStr">
        <is>
          <t>Sí</t>
        </is>
      </c>
      <c r="AT49" s="16" t="n">
        <v>5.6</v>
      </c>
      <c r="AU49" s="16" t="inlineStr">
        <is>
          <t>Sí</t>
        </is>
      </c>
      <c r="AV49" s="16" t="inlineStr">
        <is>
          <t>Estaciones de servicio; Paradores</t>
        </is>
      </c>
      <c r="AX49" s="16" t="n">
        <v>4.3</v>
      </c>
      <c r="AY49" s="16" t="inlineStr">
        <is>
          <t>Casi nunca</t>
        </is>
      </c>
      <c r="AZ49" s="16" t="inlineStr">
        <is>
          <t>Gaseosas</t>
        </is>
      </c>
      <c r="BB49" s="16" t="inlineStr">
        <is>
          <t>Sí, siempre</t>
        </is>
      </c>
      <c r="BC49" s="16" t="inlineStr">
        <is>
          <t>Algunas veces</t>
        </is>
      </c>
      <c r="BD49" s="16" t="inlineStr">
        <is>
          <t>No</t>
        </is>
      </c>
      <c r="BE49" s="16" t="inlineStr">
        <is>
          <t>Parcialmente</t>
        </is>
      </c>
      <c r="BF49" s="16" t="inlineStr">
        <is>
          <t>Obra social</t>
        </is>
      </c>
      <c r="BG49" s="16" t="inlineStr">
        <is>
          <t>Ninguno</t>
        </is>
      </c>
      <c r="BH49" s="16" t="inlineStr">
        <is>
          <t>Una vez al año</t>
        </is>
      </c>
      <c r="BI49" s="16" t="inlineStr">
        <is>
          <t>Sistema privado</t>
        </is>
      </c>
      <c r="BJ49" s="16" t="inlineStr">
        <is>
          <t>No</t>
        </is>
      </c>
      <c r="BL49" s="16" t="inlineStr">
        <is>
          <t>Ninguno</t>
        </is>
      </c>
      <c r="BN49" s="16" t="inlineStr">
        <is>
          <t>Musculoesqueléticos; Digestivas</t>
        </is>
      </c>
      <c r="BP49" s="16" t="inlineStr">
        <is>
          <t>Rara vez</t>
        </is>
      </c>
      <c r="BQ49" s="16" t="inlineStr">
        <is>
          <t>Café; Coca-Cola</t>
        </is>
      </c>
      <c r="BS49" s="16" t="inlineStr">
        <is>
          <t>Sí</t>
        </is>
      </c>
      <c r="BT49" s="16" t="inlineStr">
        <is>
          <t>No</t>
        </is>
      </c>
      <c r="BU49" s="16" t="inlineStr">
        <is>
          <t>A veces</t>
        </is>
      </c>
      <c r="BV49" s="16" t="inlineStr">
        <is>
          <t>Sí</t>
        </is>
      </c>
      <c r="BW49" s="16" t="inlineStr">
        <is>
          <t>No</t>
        </is>
      </c>
      <c r="BX49" s="16" t="inlineStr">
        <is>
          <t>Varón</t>
        </is>
      </c>
      <c r="BY49" s="16" t="n">
        <v>85.2</v>
      </c>
      <c r="BZ49" s="16" t="n">
        <v>1.78</v>
      </c>
      <c r="CA49" s="16" t="n">
        <v>26.9</v>
      </c>
      <c r="CB49" s="16" t="n">
        <v>109</v>
      </c>
      <c r="CC49" s="16" t="n">
        <v>110</v>
      </c>
      <c r="CD49" s="16" t="n">
        <v>70</v>
      </c>
      <c r="CE49" s="16" t="inlineStr">
        <is>
          <t>No</t>
        </is>
      </c>
      <c r="CF49" s="16" t="inlineStr">
        <is>
          <t>No</t>
        </is>
      </c>
      <c r="CG49" s="16" t="inlineStr">
        <is>
          <t>Sí</t>
        </is>
      </c>
      <c r="CH49" s="16" t="inlineStr">
        <is>
          <t>No</t>
        </is>
      </c>
      <c r="CI49" s="16" t="inlineStr">
        <is>
          <t>No</t>
        </is>
      </c>
      <c r="CJ49" s="16" t="inlineStr">
        <is>
          <t>No</t>
        </is>
      </c>
      <c r="CK49" s="16" t="inlineStr">
        <is>
          <t>Sí</t>
        </is>
      </c>
      <c r="CL49" s="16" t="inlineStr">
        <is>
          <t>Sí</t>
        </is>
      </c>
      <c r="CM49" s="16" t="inlineStr">
        <is>
          <t>07:15</t>
        </is>
      </c>
      <c r="CN49" s="16" t="inlineStr">
        <is>
          <t>Mate</t>
        </is>
      </c>
      <c r="CO49" s="16" t="inlineStr">
        <is>
          <t>12:30</t>
        </is>
      </c>
      <c r="CP49" s="16" t="n">
        <v>156</v>
      </c>
      <c r="CQ49" s="16" t="n">
        <v>315</v>
      </c>
      <c r="CR49" s="16" t="inlineStr">
        <is>
          <t>Sí</t>
        </is>
      </c>
      <c r="CS49" s="16" t="n">
        <v>11</v>
      </c>
      <c r="CT49" s="16" t="inlineStr">
        <is>
          <t>Ligeramente elevado</t>
        </is>
      </c>
      <c r="CU49" s="16" t="inlineStr">
        <is>
          <t>4 %</t>
        </is>
      </c>
      <c r="CV49" s="16" t="inlineStr">
        <is>
          <t>Sí</t>
        </is>
      </c>
      <c r="CW49" s="16" t="n">
        <v>12</v>
      </c>
      <c r="CX49" s="16" t="inlineStr">
        <is>
          <t>10</t>
        </is>
      </c>
      <c r="CY49" s="16" t="inlineStr">
        <is>
          <t>Moderado</t>
        </is>
      </c>
    </row>
    <row r="50">
      <c r="A50" s="16" t="inlineStr">
        <is>
          <t>demo-49</t>
        </is>
      </c>
      <c r="B50" s="16" t="inlineStr">
        <is>
          <t>A1-0049</t>
        </is>
      </c>
      <c r="C50" s="16" t="inlineStr">
        <is>
          <t>049-24-4500</t>
        </is>
      </c>
      <c r="D50" s="16" t="n">
        <v>49</v>
      </c>
      <c r="E50" s="16" t="n">
        <v>24</v>
      </c>
      <c r="F50" s="16" t="inlineStr">
        <is>
          <t>4500</t>
        </is>
      </c>
      <c r="G50" s="17" t="n">
        <v>46291</v>
      </c>
      <c r="H50" s="16" t="inlineStr">
        <is>
          <t>14:03</t>
        </is>
      </c>
      <c r="J50" s="16" t="inlineStr">
        <is>
          <t>A</t>
        </is>
      </c>
      <c r="K50" s="16" t="inlineStr">
        <is>
          <t>1</t>
        </is>
      </c>
      <c r="L50" s="16" t="inlineStr">
        <is>
          <t>Encuestador A</t>
        </is>
      </c>
      <c r="M50" s="16" t="inlineStr">
        <is>
          <t>Puesto 1</t>
        </is>
      </c>
      <c r="N50" s="16" t="inlineStr">
        <is>
          <t>Sí</t>
        </is>
      </c>
      <c r="O50" s="16" t="inlineStr">
        <is>
          <t>Sí</t>
        </is>
      </c>
      <c r="P50" s="16" t="n">
        <v>38</v>
      </c>
      <c r="Q50" s="16" t="inlineStr">
        <is>
          <t>Sí</t>
        </is>
      </c>
      <c r="R50" s="16" t="inlineStr">
        <is>
          <t>Sí</t>
        </is>
      </c>
      <c r="S50" s="16" t="inlineStr">
        <is>
          <t>Sí</t>
        </is>
      </c>
      <c r="T50" s="16" t="inlineStr">
        <is>
          <t>finalizado</t>
        </is>
      </c>
      <c r="U50" s="16" t="inlineStr">
        <is>
          <t>2026-10-v2</t>
        </is>
      </c>
      <c r="V50" s="16" t="inlineStr">
        <is>
          <t>2026-09-26T15:00:00.000Z</t>
        </is>
      </c>
      <c r="W50" s="16" t="inlineStr">
        <is>
          <t>Paraguay</t>
        </is>
      </c>
      <c r="Y50" s="16" t="inlineStr">
        <is>
          <t>Secundaria incompleta</t>
        </is>
      </c>
      <c r="Z50" s="16" t="inlineStr">
        <is>
          <t>No</t>
        </is>
      </c>
      <c r="AA50" s="16" t="inlineStr">
        <is>
          <t>2</t>
        </is>
      </c>
      <c r="AB50" s="16" t="inlineStr">
        <is>
          <t>Más de 5</t>
        </is>
      </c>
      <c r="AC50" s="16" t="inlineStr">
        <is>
          <t>Guaraní; Español</t>
        </is>
      </c>
      <c r="AE50" s="16" t="inlineStr">
        <is>
          <t>Español</t>
        </is>
      </c>
      <c r="AG50" s="16" t="inlineStr">
        <is>
          <t>Argentina</t>
        </is>
      </c>
      <c r="AI50" s="16" t="inlineStr">
        <is>
          <t>Bueno</t>
        </is>
      </c>
      <c r="AJ50" s="16" t="n">
        <v>1</v>
      </c>
      <c r="AK50" s="16" t="inlineStr">
        <is>
          <t>Viaje interprovincial</t>
        </is>
      </c>
      <c r="AL50" s="16" t="inlineStr">
        <is>
          <t>Una vez a la semana</t>
        </is>
      </c>
      <c r="AN50" s="16" t="inlineStr">
        <is>
          <t>Diariamente</t>
        </is>
      </c>
      <c r="AP50" s="16" t="inlineStr">
        <is>
          <t>Empleado</t>
        </is>
      </c>
      <c r="AR50" s="16" t="inlineStr">
        <is>
          <t>Disconforme</t>
        </is>
      </c>
      <c r="AS50" s="16" t="inlineStr">
        <is>
          <t>Sí</t>
        </is>
      </c>
      <c r="AT50" s="16" t="n">
        <v>5.6</v>
      </c>
      <c r="AU50" s="16" t="inlineStr">
        <is>
          <t>Sí</t>
        </is>
      </c>
      <c r="AV50" s="16" t="inlineStr">
        <is>
          <t>Estaciones de servicio</t>
        </is>
      </c>
      <c r="AX50" s="16" t="n">
        <v>5.6</v>
      </c>
      <c r="AY50" s="16" t="inlineStr">
        <is>
          <t>Nunca</t>
        </is>
      </c>
      <c r="AZ50" s="16" t="inlineStr">
        <is>
          <t>Gaseosas; Mate</t>
        </is>
      </c>
      <c r="BB50" s="16" t="inlineStr">
        <is>
          <t>A veces</t>
        </is>
      </c>
      <c r="BC50" s="16" t="inlineStr">
        <is>
          <t>Sí</t>
        </is>
      </c>
      <c r="BD50" s="16" t="inlineStr">
        <is>
          <t>No</t>
        </is>
      </c>
      <c r="BE50" s="16" t="inlineStr">
        <is>
          <t>Parcialmente</t>
        </is>
      </c>
      <c r="BF50" s="16" t="inlineStr">
        <is>
          <t>Obra social; Prepaga</t>
        </is>
      </c>
      <c r="BG50" s="16" t="inlineStr">
        <is>
          <t>Sistema privado</t>
        </is>
      </c>
      <c r="BH50" s="16" t="inlineStr">
        <is>
          <t>Solo cuando me siento mal</t>
        </is>
      </c>
      <c r="BI50" s="16" t="inlineStr">
        <is>
          <t>Sistema público; Otros (medicina tradicional, alternativa, etc.)</t>
        </is>
      </c>
      <c r="BJ50" s="16" t="inlineStr">
        <is>
          <t>Sí</t>
        </is>
      </c>
      <c r="BK50" s="16" t="inlineStr">
        <is>
          <t>Cervical</t>
        </is>
      </c>
      <c r="BL50" s="16" t="inlineStr">
        <is>
          <t>Ninguno</t>
        </is>
      </c>
      <c r="BN50" s="16" t="inlineStr">
        <is>
          <t>Musculoesqueléticos</t>
        </is>
      </c>
      <c r="BP50" s="16" t="inlineStr">
        <is>
          <t>Rara vez</t>
        </is>
      </c>
      <c r="BQ50" s="16" t="inlineStr">
        <is>
          <t>Yerba mate</t>
        </is>
      </c>
      <c r="BS50" s="16" t="inlineStr">
        <is>
          <t>No</t>
        </is>
      </c>
      <c r="BT50" s="16" t="inlineStr">
        <is>
          <t>No</t>
        </is>
      </c>
      <c r="BU50" s="16" t="inlineStr">
        <is>
          <t>Nunca</t>
        </is>
      </c>
      <c r="BV50" s="16" t="inlineStr">
        <is>
          <t>Sí</t>
        </is>
      </c>
      <c r="BW50" s="16" t="inlineStr">
        <is>
          <t>No</t>
        </is>
      </c>
      <c r="BX50" s="16" t="inlineStr">
        <is>
          <t>Varón</t>
        </is>
      </c>
      <c r="BY50" s="16" t="n">
        <v>79</v>
      </c>
      <c r="BZ50" s="16" t="n">
        <v>1.87</v>
      </c>
      <c r="CA50" s="16" t="n">
        <v>22.6</v>
      </c>
      <c r="CB50" s="16" t="n">
        <v>105</v>
      </c>
      <c r="CC50" s="16" t="n">
        <v>131</v>
      </c>
      <c r="CD50" s="16" t="n">
        <v>83</v>
      </c>
      <c r="CE50" s="16" t="inlineStr">
        <is>
          <t>Sí</t>
        </is>
      </c>
      <c r="CF50" s="16" t="inlineStr">
        <is>
          <t>No</t>
        </is>
      </c>
      <c r="CG50" s="16" t="inlineStr">
        <is>
          <t>No</t>
        </is>
      </c>
      <c r="CH50" s="16" t="inlineStr">
        <is>
          <t>No</t>
        </is>
      </c>
      <c r="CI50" s="16" t="inlineStr">
        <is>
          <t>No</t>
        </is>
      </c>
      <c r="CJ50" s="16" t="inlineStr">
        <is>
          <t>Sí, parientes lejanos</t>
        </is>
      </c>
      <c r="CK50" s="16" t="inlineStr">
        <is>
          <t>No</t>
        </is>
      </c>
      <c r="CL50" s="16" t="inlineStr">
        <is>
          <t>Sí</t>
        </is>
      </c>
      <c r="CM50" s="16" t="inlineStr">
        <is>
          <t>07:15</t>
        </is>
      </c>
      <c r="CN50" s="16" t="inlineStr">
        <is>
          <t>Mate</t>
        </is>
      </c>
      <c r="CO50" s="16" t="inlineStr">
        <is>
          <t>11:30</t>
        </is>
      </c>
      <c r="CP50" s="16" t="n">
        <v>168</v>
      </c>
      <c r="CQ50" s="16" t="n">
        <v>255</v>
      </c>
      <c r="CR50" s="16" t="inlineStr">
        <is>
          <t>Sí</t>
        </is>
      </c>
      <c r="CS50" s="16" t="n">
        <v>8</v>
      </c>
      <c r="CT50" s="16" t="inlineStr">
        <is>
          <t>Ligeramente elevado</t>
        </is>
      </c>
      <c r="CU50" s="16" t="inlineStr">
        <is>
          <t>4 %</t>
        </is>
      </c>
      <c r="CV50" s="16" t="inlineStr">
        <is>
          <t>Sí</t>
        </is>
      </c>
      <c r="CW50" s="16" t="n">
        <v>-8</v>
      </c>
      <c r="CX50" s="16" t="inlineStr">
        <is>
          <t>&lt;1</t>
        </is>
      </c>
      <c r="CY50" s="16" t="inlineStr">
        <is>
          <t>Bajo</t>
        </is>
      </c>
    </row>
    <row r="51">
      <c r="A51" s="16" t="inlineStr">
        <is>
          <t>demo-50</t>
        </is>
      </c>
      <c r="B51" s="16" t="inlineStr">
        <is>
          <t>C1-0050</t>
        </is>
      </c>
      <c r="C51" s="16" t="inlineStr">
        <is>
          <t>449-46-4400</t>
        </is>
      </c>
      <c r="D51" s="16" t="n">
        <v>449</v>
      </c>
      <c r="E51" s="16" t="n">
        <v>46</v>
      </c>
      <c r="F51" s="16" t="inlineStr">
        <is>
          <t>4400</t>
        </is>
      </c>
      <c r="G51" s="17" t="n">
        <v>46289</v>
      </c>
      <c r="H51" s="16" t="inlineStr">
        <is>
          <t>11:01</t>
        </is>
      </c>
      <c r="J51" s="16" t="inlineStr">
        <is>
          <t>C</t>
        </is>
      </c>
      <c r="K51" s="16" t="inlineStr">
        <is>
          <t>1</t>
        </is>
      </c>
      <c r="L51" s="16" t="inlineStr">
        <is>
          <t>Encuestador C</t>
        </is>
      </c>
      <c r="M51" s="16" t="inlineStr">
        <is>
          <t>Puesto 2</t>
        </is>
      </c>
      <c r="N51" s="16" t="inlineStr">
        <is>
          <t>Sí</t>
        </is>
      </c>
      <c r="O51" s="16" t="inlineStr">
        <is>
          <t>No</t>
        </is>
      </c>
      <c r="P51" s="16" t="n">
        <v>38</v>
      </c>
      <c r="Q51" s="16" t="inlineStr">
        <is>
          <t>Sí</t>
        </is>
      </c>
      <c r="R51" s="16" t="inlineStr">
        <is>
          <t>No</t>
        </is>
      </c>
      <c r="S51" s="16" t="inlineStr">
        <is>
          <t>No</t>
        </is>
      </c>
      <c r="T51" s="16" t="inlineStr">
        <is>
          <t>finalizado</t>
        </is>
      </c>
      <c r="U51" s="16" t="inlineStr">
        <is>
          <t>2026-10-v2</t>
        </is>
      </c>
      <c r="V51" s="16" t="inlineStr">
        <is>
          <t>2026-09-24T15:00:00.000Z</t>
        </is>
      </c>
      <c r="W51" s="16" t="inlineStr">
        <is>
          <t>Argentina</t>
        </is>
      </c>
      <c r="Y51" s="16" t="inlineStr">
        <is>
          <t>Universitario incompleto</t>
        </is>
      </c>
      <c r="Z51" s="16" t="inlineStr">
        <is>
          <t>Sí</t>
        </is>
      </c>
      <c r="AA51" s="16" t="inlineStr">
        <is>
          <t>4</t>
        </is>
      </c>
      <c r="AB51" s="16" t="inlineStr">
        <is>
          <t>Más de 5</t>
        </is>
      </c>
      <c r="AC51" s="16" t="inlineStr">
        <is>
          <t>Español</t>
        </is>
      </c>
      <c r="AE51" s="16" t="inlineStr">
        <is>
          <t>Español</t>
        </is>
      </c>
      <c r="AG51" s="16" t="inlineStr">
        <is>
          <t>Argentina</t>
        </is>
      </c>
      <c r="AI51" s="16" t="inlineStr">
        <is>
          <t>Regular</t>
        </is>
      </c>
      <c r="AJ51" s="16" t="n">
        <v>2</v>
      </c>
      <c r="AK51" s="16" t="inlineStr">
        <is>
          <t>Viaje internacional</t>
        </is>
      </c>
      <c r="AL51" s="16" t="inlineStr">
        <is>
          <t>Una vez a la semana</t>
        </is>
      </c>
      <c r="AN51" s="16" t="inlineStr">
        <is>
          <t>Diariamente</t>
        </is>
      </c>
      <c r="AP51" s="16" t="inlineStr">
        <is>
          <t>Dueño del camión</t>
        </is>
      </c>
      <c r="AR51" s="16" t="inlineStr">
        <is>
          <t>Disconforme</t>
        </is>
      </c>
      <c r="AS51" s="16" t="inlineStr">
        <is>
          <t>Sí</t>
        </is>
      </c>
      <c r="AT51" s="16" t="n">
        <v>6.8</v>
      </c>
      <c r="AU51" s="16" t="inlineStr">
        <is>
          <t>Sí</t>
        </is>
      </c>
      <c r="AV51" s="16" t="inlineStr">
        <is>
          <t>En el camión al costado de la ruta</t>
        </is>
      </c>
      <c r="AX51" s="16" t="n">
        <v>6.8</v>
      </c>
      <c r="AY51" s="16" t="inlineStr">
        <is>
          <t>Todos los días</t>
        </is>
      </c>
      <c r="AZ51" s="16" t="inlineStr">
        <is>
          <t>Mate; Gaseosas</t>
        </is>
      </c>
      <c r="BB51" s="16" t="inlineStr">
        <is>
          <t>A veces</t>
        </is>
      </c>
      <c r="BC51" s="16" t="inlineStr">
        <is>
          <t>No</t>
        </is>
      </c>
      <c r="BD51" s="16" t="inlineStr">
        <is>
          <t>No</t>
        </is>
      </c>
      <c r="BE51" s="16" t="inlineStr">
        <is>
          <t>Sí</t>
        </is>
      </c>
      <c r="BF51" s="16" t="inlineStr">
        <is>
          <t>Ninguna</t>
        </is>
      </c>
      <c r="BG51" s="16" t="inlineStr">
        <is>
          <t>Ninguno</t>
        </is>
      </c>
      <c r="BH51" s="16" t="inlineStr">
        <is>
          <t>Una vez al año</t>
        </is>
      </c>
      <c r="BI51" s="16" t="inlineStr">
        <is>
          <t>Sistema público; Otros (medicina tradicional, alternativa, etc.)</t>
        </is>
      </c>
      <c r="BJ51" s="16" t="inlineStr">
        <is>
          <t>Sí</t>
        </is>
      </c>
      <c r="BK51" s="16" t="inlineStr">
        <is>
          <t>Lumbar</t>
        </is>
      </c>
      <c r="BL51" s="16" t="inlineStr">
        <is>
          <t>Ninguno</t>
        </is>
      </c>
      <c r="BN51" s="16" t="inlineStr">
        <is>
          <t>Obesidad</t>
        </is>
      </c>
      <c r="BP51" s="16" t="inlineStr">
        <is>
          <t>Nunca</t>
        </is>
      </c>
      <c r="BQ51" s="16" t="inlineStr">
        <is>
          <t>Yerba mate</t>
        </is>
      </c>
      <c r="BS51" s="16" t="inlineStr">
        <is>
          <t>Sí</t>
        </is>
      </c>
      <c r="BT51" s="16" t="inlineStr">
        <is>
          <t>No</t>
        </is>
      </c>
      <c r="BU51" s="16" t="inlineStr">
        <is>
          <t>Siempre</t>
        </is>
      </c>
      <c r="BV51" s="16" t="inlineStr">
        <is>
          <t>Sí</t>
        </is>
      </c>
    </row>
    <row r="52">
      <c r="A52" s="16" t="inlineStr">
        <is>
          <t>demo-51</t>
        </is>
      </c>
      <c r="B52" s="16" t="inlineStr">
        <is>
          <t>B1-0051</t>
        </is>
      </c>
      <c r="C52" s="16" t="inlineStr">
        <is>
          <t>250-53-4400</t>
        </is>
      </c>
      <c r="D52" s="16" t="n">
        <v>250</v>
      </c>
      <c r="E52" s="16" t="n">
        <v>53</v>
      </c>
      <c r="F52" s="16" t="inlineStr">
        <is>
          <t>4400</t>
        </is>
      </c>
      <c r="G52" s="17" t="n">
        <v>46291</v>
      </c>
      <c r="H52" s="16" t="inlineStr">
        <is>
          <t>15:01</t>
        </is>
      </c>
      <c r="J52" s="16" t="inlineStr">
        <is>
          <t>B</t>
        </is>
      </c>
      <c r="K52" s="16" t="inlineStr">
        <is>
          <t>1</t>
        </is>
      </c>
      <c r="L52" s="16" t="inlineStr">
        <is>
          <t>Encuestador B</t>
        </is>
      </c>
      <c r="M52" s="16" t="inlineStr">
        <is>
          <t>Puesto 2</t>
        </is>
      </c>
      <c r="N52" s="16" t="inlineStr">
        <is>
          <t>Sí</t>
        </is>
      </c>
      <c r="O52" s="16" t="inlineStr">
        <is>
          <t>No</t>
        </is>
      </c>
      <c r="P52" s="16" t="n">
        <v>39</v>
      </c>
      <c r="Q52" s="16" t="inlineStr">
        <is>
          <t>Sí</t>
        </is>
      </c>
      <c r="R52" s="16" t="inlineStr">
        <is>
          <t>Sí</t>
        </is>
      </c>
      <c r="S52" s="16" t="inlineStr">
        <is>
          <t>Sí</t>
        </is>
      </c>
      <c r="T52" s="16" t="inlineStr">
        <is>
          <t>finalizado</t>
        </is>
      </c>
      <c r="U52" s="16" t="inlineStr">
        <is>
          <t>2026-10-v2</t>
        </is>
      </c>
      <c r="V52" s="16" t="inlineStr">
        <is>
          <t>2026-09-26T15:00:00.000Z</t>
        </is>
      </c>
      <c r="W52" s="16" t="inlineStr">
        <is>
          <t>Argentina</t>
        </is>
      </c>
      <c r="Y52" s="16" t="inlineStr">
        <is>
          <t>Terciario completo</t>
        </is>
      </c>
      <c r="Z52" s="16" t="inlineStr">
        <is>
          <t>No</t>
        </is>
      </c>
      <c r="AA52" s="16" t="inlineStr">
        <is>
          <t>Más de 5</t>
        </is>
      </c>
      <c r="AB52" s="16" t="inlineStr">
        <is>
          <t>2</t>
        </is>
      </c>
      <c r="AC52" s="16" t="inlineStr">
        <is>
          <t>Español</t>
        </is>
      </c>
      <c r="AE52" s="16" t="inlineStr">
        <is>
          <t>Español</t>
        </is>
      </c>
      <c r="AG52" s="16" t="inlineStr">
        <is>
          <t>Argentina</t>
        </is>
      </c>
      <c r="AI52" s="16" t="inlineStr">
        <is>
          <t>Regular</t>
        </is>
      </c>
      <c r="AJ52" s="16" t="n">
        <v>22</v>
      </c>
      <c r="AK52" s="16" t="inlineStr">
        <is>
          <t>Viaje interprovincial</t>
        </is>
      </c>
      <c r="AL52" s="16" t="inlineStr">
        <is>
          <t>Quincenalmente</t>
        </is>
      </c>
      <c r="AN52" s="16" t="inlineStr">
        <is>
          <t>3 veces por semana</t>
        </is>
      </c>
      <c r="AP52" s="16" t="inlineStr">
        <is>
          <t>Otro</t>
        </is>
      </c>
      <c r="AR52" s="16" t="inlineStr">
        <is>
          <t>Conforme</t>
        </is>
      </c>
      <c r="AS52" s="16" t="inlineStr">
        <is>
          <t>Sí</t>
        </is>
      </c>
      <c r="AT52" s="16" t="n">
        <v>6.8</v>
      </c>
      <c r="AU52" s="16" t="inlineStr">
        <is>
          <t>Sí</t>
        </is>
      </c>
      <c r="AV52" s="16" t="inlineStr">
        <is>
          <t>En el camión al costado de la ruta</t>
        </is>
      </c>
      <c r="AX52" s="16" t="n">
        <v>6.6</v>
      </c>
      <c r="AY52" s="16" t="inlineStr">
        <is>
          <t>Nunca</t>
        </is>
      </c>
      <c r="AZ52" s="16" t="inlineStr">
        <is>
          <t>Agua; Mate; Gaseosas</t>
        </is>
      </c>
      <c r="BB52" s="16" t="inlineStr">
        <is>
          <t>Sí, siempre</t>
        </is>
      </c>
      <c r="BC52" s="16" t="inlineStr">
        <is>
          <t>No</t>
        </is>
      </c>
      <c r="BD52" s="16" t="inlineStr">
        <is>
          <t>Sí</t>
        </is>
      </c>
      <c r="BE52" s="16" t="inlineStr">
        <is>
          <t>Sí</t>
        </is>
      </c>
      <c r="BF52" s="16" t="inlineStr">
        <is>
          <t>Obra social</t>
        </is>
      </c>
      <c r="BG52" s="16" t="inlineStr">
        <is>
          <t>Sistema público</t>
        </is>
      </c>
      <c r="BH52" s="16" t="inlineStr">
        <is>
          <t>Una vez al año</t>
        </is>
      </c>
      <c r="BI52" s="16" t="inlineStr">
        <is>
          <t>Sistema privado</t>
        </is>
      </c>
      <c r="BJ52" s="16" t="inlineStr">
        <is>
          <t>Sí</t>
        </is>
      </c>
      <c r="BK52" s="16" t="inlineStr">
        <is>
          <t>Lumbar</t>
        </is>
      </c>
      <c r="BL52" s="16" t="inlineStr">
        <is>
          <t>Medicamentos</t>
        </is>
      </c>
      <c r="BM52" s="16" t="inlineStr">
        <is>
          <t>Ibuprofeno</t>
        </is>
      </c>
      <c r="BN52" s="16" t="inlineStr">
        <is>
          <t>Musculoesqueléticos</t>
        </is>
      </c>
      <c r="BP52" s="16" t="inlineStr">
        <is>
          <t>Nunca</t>
        </is>
      </c>
      <c r="BQ52" s="16" t="inlineStr">
        <is>
          <t>Café</t>
        </is>
      </c>
      <c r="BS52" s="16" t="inlineStr">
        <is>
          <t>Sí</t>
        </is>
      </c>
      <c r="BT52" s="16" t="inlineStr">
        <is>
          <t>No</t>
        </is>
      </c>
      <c r="BU52" s="16" t="inlineStr">
        <is>
          <t>A veces</t>
        </is>
      </c>
      <c r="BV52" s="16" t="inlineStr">
        <is>
          <t>Sí</t>
        </is>
      </c>
      <c r="BW52" s="16" t="inlineStr">
        <is>
          <t>No</t>
        </is>
      </c>
      <c r="BX52" s="16" t="inlineStr">
        <is>
          <t>Varón</t>
        </is>
      </c>
      <c r="BY52" s="16" t="n">
        <v>123.4</v>
      </c>
      <c r="BZ52" s="16" t="n">
        <v>1.87</v>
      </c>
      <c r="CA52" s="16" t="n">
        <v>35.3</v>
      </c>
      <c r="CB52" s="16" t="n">
        <v>89</v>
      </c>
      <c r="CC52" s="16" t="n">
        <v>141</v>
      </c>
      <c r="CD52" s="16" t="n">
        <v>89</v>
      </c>
      <c r="CE52" s="16" t="inlineStr">
        <is>
          <t>No</t>
        </is>
      </c>
      <c r="CF52" s="16" t="inlineStr">
        <is>
          <t>No</t>
        </is>
      </c>
      <c r="CG52" s="16" t="inlineStr">
        <is>
          <t>No</t>
        </is>
      </c>
      <c r="CH52" s="16" t="inlineStr">
        <is>
          <t>Sí</t>
        </is>
      </c>
      <c r="CI52" s="16" t="inlineStr">
        <is>
          <t>No</t>
        </is>
      </c>
      <c r="CJ52" s="16" t="inlineStr">
        <is>
          <t>No</t>
        </is>
      </c>
      <c r="CK52" s="16" t="inlineStr">
        <is>
          <t>Sí</t>
        </is>
      </c>
      <c r="CL52" s="16" t="inlineStr">
        <is>
          <t>Sí</t>
        </is>
      </c>
      <c r="CM52" s="16" t="inlineStr">
        <is>
          <t>07:32</t>
        </is>
      </c>
      <c r="CN52" s="16" t="inlineStr">
        <is>
          <t>Mate</t>
        </is>
      </c>
      <c r="CO52" s="16" t="inlineStr">
        <is>
          <t>15:30</t>
        </is>
      </c>
      <c r="CP52" s="16" t="n">
        <v>123</v>
      </c>
      <c r="CQ52" s="16" t="n">
        <v>478</v>
      </c>
      <c r="CR52" s="16" t="inlineStr">
        <is>
          <t>Sí</t>
        </is>
      </c>
      <c r="CS52" s="16" t="n">
        <v>10</v>
      </c>
      <c r="CT52" s="16" t="inlineStr">
        <is>
          <t>Ligeramente elevado</t>
        </is>
      </c>
      <c r="CU52" s="16" t="inlineStr">
        <is>
          <t>4 %</t>
        </is>
      </c>
      <c r="CV52" s="16" t="inlineStr">
        <is>
          <t>Sí</t>
        </is>
      </c>
      <c r="CW52" s="16" t="n">
        <v>13</v>
      </c>
      <c r="CX52" s="16" t="inlineStr">
        <is>
          <t>12</t>
        </is>
      </c>
      <c r="CY52" s="16" t="inlineStr">
        <is>
          <t>Moderado</t>
        </is>
      </c>
    </row>
    <row r="53">
      <c r="A53" s="16" t="inlineStr">
        <is>
          <t>demo-52</t>
        </is>
      </c>
      <c r="B53" s="16" t="inlineStr">
        <is>
          <t>A1-0052</t>
        </is>
      </c>
      <c r="C53" s="16" t="inlineStr">
        <is>
          <t>052-33-4600</t>
        </is>
      </c>
      <c r="D53" s="16" t="n">
        <v>52</v>
      </c>
      <c r="E53" s="16" t="n">
        <v>33</v>
      </c>
      <c r="F53" s="16" t="inlineStr">
        <is>
          <t>4600</t>
        </is>
      </c>
      <c r="G53" s="17" t="n">
        <v>46301</v>
      </c>
      <c r="H53" s="16" t="inlineStr">
        <is>
          <t>14:02</t>
        </is>
      </c>
      <c r="J53" s="16" t="inlineStr">
        <is>
          <t>A</t>
        </is>
      </c>
      <c r="K53" s="16" t="inlineStr">
        <is>
          <t>1</t>
        </is>
      </c>
      <c r="L53" s="16" t="inlineStr">
        <is>
          <t>Encuestador A</t>
        </is>
      </c>
      <c r="M53" s="16" t="inlineStr">
        <is>
          <t>Puesto 2</t>
        </is>
      </c>
      <c r="N53" s="16" t="inlineStr">
        <is>
          <t>Sí</t>
        </is>
      </c>
      <c r="O53" s="16" t="inlineStr">
        <is>
          <t>No</t>
        </is>
      </c>
      <c r="P53" s="16" t="n">
        <v>39</v>
      </c>
      <c r="Q53" s="16" t="inlineStr">
        <is>
          <t>Sí</t>
        </is>
      </c>
      <c r="R53" s="16" t="inlineStr">
        <is>
          <t>Sí</t>
        </is>
      </c>
      <c r="S53" s="16" t="inlineStr">
        <is>
          <t>No</t>
        </is>
      </c>
      <c r="T53" s="16" t="inlineStr">
        <is>
          <t>finalizado</t>
        </is>
      </c>
      <c r="U53" s="16" t="inlineStr">
        <is>
          <t>2026-10-v2</t>
        </is>
      </c>
      <c r="V53" s="16" t="inlineStr">
        <is>
          <t>2026-10-06T15:00:00.000Z</t>
        </is>
      </c>
      <c r="W53" s="16" t="inlineStr">
        <is>
          <t>Brasil</t>
        </is>
      </c>
      <c r="Y53" s="16" t="inlineStr">
        <is>
          <t>Secundaria incompleta</t>
        </is>
      </c>
      <c r="Z53" s="16" t="inlineStr">
        <is>
          <t>Sí</t>
        </is>
      </c>
      <c r="AA53" s="16" t="inlineStr">
        <is>
          <t>1</t>
        </is>
      </c>
      <c r="AB53" s="16" t="inlineStr">
        <is>
          <t>Más de 5</t>
        </is>
      </c>
      <c r="AC53" s="16" t="inlineStr">
        <is>
          <t>Guaraní; Inglés</t>
        </is>
      </c>
      <c r="AE53" s="16" t="inlineStr">
        <is>
          <t>Español</t>
        </is>
      </c>
      <c r="AG53" s="16" t="inlineStr">
        <is>
          <t>Argentina</t>
        </is>
      </c>
      <c r="AI53" s="16" t="inlineStr">
        <is>
          <t>Bueno</t>
        </is>
      </c>
      <c r="AJ53" s="16" t="n">
        <v>8</v>
      </c>
      <c r="AK53" s="16" t="inlineStr">
        <is>
          <t>Viaje internacional</t>
        </is>
      </c>
      <c r="AL53" s="16" t="inlineStr">
        <is>
          <t>2 veces por semana</t>
        </is>
      </c>
      <c r="AN53" s="16" t="inlineStr">
        <is>
          <t>3 veces por semana</t>
        </is>
      </c>
      <c r="AP53" s="16" t="inlineStr">
        <is>
          <t>Empleado</t>
        </is>
      </c>
      <c r="AR53" s="16" t="inlineStr">
        <is>
          <t>Conforme</t>
        </is>
      </c>
      <c r="AS53" s="16" t="inlineStr">
        <is>
          <t>Sí</t>
        </is>
      </c>
      <c r="AT53" s="16" t="n">
        <v>3.4</v>
      </c>
      <c r="AU53" s="16" t="inlineStr">
        <is>
          <t>Sí</t>
        </is>
      </c>
      <c r="AV53" s="16" t="inlineStr">
        <is>
          <t>Estaciones de servicio; En el camión al costado de la ruta</t>
        </is>
      </c>
      <c r="AX53" s="16" t="n">
        <v>7.3</v>
      </c>
      <c r="AY53" s="16" t="inlineStr">
        <is>
          <t>Varias veces por semana</t>
        </is>
      </c>
      <c r="AZ53" s="16" t="inlineStr">
        <is>
          <t>Gaseosas</t>
        </is>
      </c>
      <c r="BB53" s="16" t="inlineStr">
        <is>
          <t>A veces</t>
        </is>
      </c>
      <c r="BC53" s="16" t="inlineStr">
        <is>
          <t>Algunas veces</t>
        </is>
      </c>
      <c r="BD53" s="16" t="inlineStr">
        <is>
          <t>No</t>
        </is>
      </c>
      <c r="BE53" s="16" t="inlineStr">
        <is>
          <t>Parcialmente</t>
        </is>
      </c>
      <c r="BF53" s="16" t="inlineStr">
        <is>
          <t>Ninguna</t>
        </is>
      </c>
      <c r="BG53" s="16" t="inlineStr">
        <is>
          <t>Ninguno</t>
        </is>
      </c>
      <c r="BH53" s="16" t="inlineStr">
        <is>
          <t>Una vez al año</t>
        </is>
      </c>
      <c r="BI53" s="16" t="inlineStr">
        <is>
          <t>Sistema público; Otros (medicina tradicional, alternativa, etc.)</t>
        </is>
      </c>
      <c r="BJ53" s="16" t="inlineStr">
        <is>
          <t>Sí</t>
        </is>
      </c>
      <c r="BK53" s="16" t="inlineStr">
        <is>
          <t>Cervical</t>
        </is>
      </c>
      <c r="BL53" s="16" t="inlineStr">
        <is>
          <t>Medicamentos</t>
        </is>
      </c>
      <c r="BM53" s="16" t="inlineStr">
        <is>
          <t>Ibuprofeno</t>
        </is>
      </c>
      <c r="BN53" s="16" t="inlineStr">
        <is>
          <t>Obesidad</t>
        </is>
      </c>
      <c r="BP53" s="16" t="inlineStr">
        <is>
          <t>2 a 3 veces por semana</t>
        </is>
      </c>
      <c r="BQ53" s="16" t="inlineStr">
        <is>
          <t>Energizantes (Speed, Monster, Red Bull, etc.)</t>
        </is>
      </c>
      <c r="BS53" s="16" t="inlineStr">
        <is>
          <t>No</t>
        </is>
      </c>
      <c r="BT53" s="16" t="inlineStr">
        <is>
          <t>No</t>
        </is>
      </c>
      <c r="BU53" s="16" t="inlineStr">
        <is>
          <t>A veces</t>
        </is>
      </c>
      <c r="BV53" s="16" t="inlineStr">
        <is>
          <t>No</t>
        </is>
      </c>
      <c r="BW53" s="16" t="inlineStr">
        <is>
          <t>No</t>
        </is>
      </c>
      <c r="BX53" s="16" t="inlineStr">
        <is>
          <t>Varón</t>
        </is>
      </c>
      <c r="BY53" s="16" t="n">
        <v>78.8</v>
      </c>
      <c r="BZ53" s="16" t="n">
        <v>1.82</v>
      </c>
      <c r="CA53" s="16" t="n">
        <v>23.8</v>
      </c>
      <c r="CB53" s="16" t="n">
        <v>91</v>
      </c>
      <c r="CC53" s="16" t="n">
        <v>123</v>
      </c>
      <c r="CD53" s="16" t="n">
        <v>78</v>
      </c>
      <c r="CE53" s="16" t="inlineStr">
        <is>
          <t>No</t>
        </is>
      </c>
      <c r="CF53" s="16" t="inlineStr">
        <is>
          <t>No</t>
        </is>
      </c>
      <c r="CG53" s="16" t="inlineStr">
        <is>
          <t>Sí</t>
        </is>
      </c>
      <c r="CH53" s="16" t="inlineStr">
        <is>
          <t>No</t>
        </is>
      </c>
      <c r="CI53" s="16" t="inlineStr">
        <is>
          <t>No</t>
        </is>
      </c>
      <c r="CJ53" s="16" t="inlineStr">
        <is>
          <t>No</t>
        </is>
      </c>
      <c r="CK53" s="16" t="inlineStr">
        <is>
          <t>Sí</t>
        </is>
      </c>
      <c r="CL53" s="16" t="inlineStr">
        <is>
          <t>No</t>
        </is>
      </c>
      <c r="CR53" s="16" t="inlineStr">
        <is>
          <t>Sí</t>
        </is>
      </c>
      <c r="CS53" s="16" t="n">
        <v>3</v>
      </c>
      <c r="CT53" s="16" t="inlineStr">
        <is>
          <t>Bajo</t>
        </is>
      </c>
      <c r="CU53" s="16" t="inlineStr">
        <is>
          <t>1 %</t>
        </is>
      </c>
      <c r="CV53" s="16" t="inlineStr">
        <is>
          <t>Sí</t>
        </is>
      </c>
      <c r="CW53" s="16" t="n">
        <v>-1</v>
      </c>
      <c r="CX53" s="16" t="inlineStr">
        <is>
          <t>&lt;1</t>
        </is>
      </c>
      <c r="CY53" s="16" t="inlineStr">
        <is>
          <t>Bajo</t>
        </is>
      </c>
    </row>
    <row r="54">
      <c r="A54" s="16" t="inlineStr">
        <is>
          <t>demo-53</t>
        </is>
      </c>
      <c r="B54" s="16" t="inlineStr">
        <is>
          <t>A1-0053</t>
        </is>
      </c>
      <c r="C54" s="16" t="inlineStr">
        <is>
          <t>053-57-4630</t>
        </is>
      </c>
      <c r="D54" s="16" t="n">
        <v>53</v>
      </c>
      <c r="E54" s="16" t="n">
        <v>57</v>
      </c>
      <c r="F54" s="16" t="inlineStr">
        <is>
          <t>4630</t>
        </is>
      </c>
      <c r="G54" s="17" t="n">
        <v>46294</v>
      </c>
      <c r="H54" s="16" t="inlineStr">
        <is>
          <t>11:08</t>
        </is>
      </c>
      <c r="J54" s="16" t="inlineStr">
        <is>
          <t>A</t>
        </is>
      </c>
      <c r="K54" s="16" t="inlineStr">
        <is>
          <t>1</t>
        </is>
      </c>
      <c r="L54" s="16" t="inlineStr">
        <is>
          <t>Encuestador A</t>
        </is>
      </c>
      <c r="M54" s="16" t="inlineStr">
        <is>
          <t>Puesto 2</t>
        </is>
      </c>
      <c r="N54" s="16" t="inlineStr">
        <is>
          <t>Sí</t>
        </is>
      </c>
      <c r="O54" s="16" t="inlineStr">
        <is>
          <t>No</t>
        </is>
      </c>
      <c r="P54" s="16" t="n">
        <v>38</v>
      </c>
      <c r="Q54" s="16" t="inlineStr">
        <is>
          <t>Sí</t>
        </is>
      </c>
      <c r="R54" s="16" t="inlineStr">
        <is>
          <t>Sí</t>
        </is>
      </c>
      <c r="S54" s="16" t="inlineStr">
        <is>
          <t>Sí</t>
        </is>
      </c>
      <c r="T54" s="16" t="inlineStr">
        <is>
          <t>finalizado</t>
        </is>
      </c>
      <c r="U54" s="16" t="inlineStr">
        <is>
          <t>2026-10-v2</t>
        </is>
      </c>
      <c r="V54" s="16" t="inlineStr">
        <is>
          <t>2026-09-29T15:00:00.000Z</t>
        </is>
      </c>
      <c r="W54" s="16" t="inlineStr">
        <is>
          <t>Chile</t>
        </is>
      </c>
      <c r="Y54" s="16" t="inlineStr">
        <is>
          <t>Secundaria completa</t>
        </is>
      </c>
      <c r="Z54" s="16" t="inlineStr">
        <is>
          <t>No</t>
        </is>
      </c>
      <c r="AA54" s="16" t="inlineStr">
        <is>
          <t>2</t>
        </is>
      </c>
      <c r="AB54" s="16" t="inlineStr">
        <is>
          <t>5</t>
        </is>
      </c>
      <c r="AC54" s="16" t="inlineStr">
        <is>
          <t>Guaraní; Español</t>
        </is>
      </c>
      <c r="AE54" s="16" t="inlineStr">
        <is>
          <t>Español</t>
        </is>
      </c>
      <c r="AG54" s="16" t="inlineStr">
        <is>
          <t>Argentina</t>
        </is>
      </c>
      <c r="AI54" s="16" t="inlineStr">
        <is>
          <t>Muy malo</t>
        </is>
      </c>
      <c r="AJ54" s="16" t="n">
        <v>5</v>
      </c>
      <c r="AK54" s="16" t="inlineStr">
        <is>
          <t>Viaje interprovincial</t>
        </is>
      </c>
      <c r="AL54" s="16" t="inlineStr">
        <is>
          <t>Una vez a la semana</t>
        </is>
      </c>
      <c r="AN54" s="16" t="inlineStr">
        <is>
          <t>2 veces por semana</t>
        </is>
      </c>
      <c r="AP54" s="16" t="inlineStr">
        <is>
          <t>Empleado</t>
        </is>
      </c>
      <c r="AR54" s="16" t="inlineStr">
        <is>
          <t>Disconforme</t>
        </is>
      </c>
      <c r="AS54" s="16" t="inlineStr">
        <is>
          <t>Sí</t>
        </is>
      </c>
      <c r="AT54" s="16" t="n">
        <v>5.3</v>
      </c>
      <c r="AU54" s="16" t="inlineStr">
        <is>
          <t>Sí</t>
        </is>
      </c>
      <c r="AV54" s="16" t="inlineStr">
        <is>
          <t>Paradores</t>
        </is>
      </c>
      <c r="AX54" s="16" t="n">
        <v>4.1</v>
      </c>
      <c r="AY54" s="16" t="inlineStr">
        <is>
          <t>Nunca</t>
        </is>
      </c>
      <c r="AZ54" s="16" t="inlineStr">
        <is>
          <t>Mate; Café; Gaseosas</t>
        </is>
      </c>
      <c r="BB54" s="16" t="inlineStr">
        <is>
          <t>Nunca</t>
        </is>
      </c>
      <c r="BC54" s="16" t="inlineStr">
        <is>
          <t>Rara vez</t>
        </is>
      </c>
      <c r="BD54" s="16" t="inlineStr">
        <is>
          <t>No</t>
        </is>
      </c>
      <c r="BE54" s="16" t="inlineStr">
        <is>
          <t>Sí</t>
        </is>
      </c>
      <c r="BF54" s="16" t="inlineStr">
        <is>
          <t>Obra social</t>
        </is>
      </c>
      <c r="BG54" s="16" t="inlineStr">
        <is>
          <t>Sistema público</t>
        </is>
      </c>
      <c r="BH54" s="16" t="inlineStr">
        <is>
          <t>Nunca</t>
        </is>
      </c>
      <c r="BI54" s="16" t="inlineStr">
        <is>
          <t>Sistema privado</t>
        </is>
      </c>
      <c r="BJ54" s="16" t="inlineStr">
        <is>
          <t>No</t>
        </is>
      </c>
      <c r="BL54" s="16" t="inlineStr">
        <is>
          <t>Ninguno</t>
        </is>
      </c>
      <c r="BN54" s="16" t="inlineStr">
        <is>
          <t>Musculoesqueléticos</t>
        </is>
      </c>
      <c r="BP54" s="16" t="inlineStr">
        <is>
          <t>Nunca</t>
        </is>
      </c>
      <c r="BQ54" s="16" t="inlineStr">
        <is>
          <t>Energizantes (Speed, Monster, Red Bull, etc.)</t>
        </is>
      </c>
      <c r="BS54" s="16" t="inlineStr">
        <is>
          <t>Sí</t>
        </is>
      </c>
      <c r="BT54" s="16" t="inlineStr">
        <is>
          <t>No</t>
        </is>
      </c>
      <c r="BU54" s="16" t="inlineStr">
        <is>
          <t>Siempre</t>
        </is>
      </c>
      <c r="BV54" s="16" t="inlineStr">
        <is>
          <t>Sí</t>
        </is>
      </c>
      <c r="BW54" s="16" t="inlineStr">
        <is>
          <t>No</t>
        </is>
      </c>
      <c r="BX54" s="16" t="inlineStr">
        <is>
          <t>Varón</t>
        </is>
      </c>
      <c r="BY54" s="16" t="n">
        <v>74.8</v>
      </c>
      <c r="BZ54" s="16" t="n">
        <v>1.87</v>
      </c>
      <c r="CA54" s="16" t="n">
        <v>21.4</v>
      </c>
      <c r="CB54" s="16" t="n">
        <v>97</v>
      </c>
      <c r="CC54" s="16" t="n">
        <v>137</v>
      </c>
      <c r="CD54" s="16" t="n">
        <v>87</v>
      </c>
      <c r="CE54" s="16" t="inlineStr">
        <is>
          <t>No</t>
        </is>
      </c>
      <c r="CF54" s="16" t="inlineStr">
        <is>
          <t>Sí</t>
        </is>
      </c>
      <c r="CG54" s="16" t="inlineStr">
        <is>
          <t>No</t>
        </is>
      </c>
      <c r="CH54" s="16" t="inlineStr">
        <is>
          <t>Sí</t>
        </is>
      </c>
      <c r="CI54" s="16" t="inlineStr">
        <is>
          <t>Sí</t>
        </is>
      </c>
      <c r="CJ54" s="16" t="inlineStr">
        <is>
          <t>Sí, primer grado</t>
        </is>
      </c>
      <c r="CK54" s="16" t="inlineStr">
        <is>
          <t>No</t>
        </is>
      </c>
      <c r="CL54" s="16" t="inlineStr">
        <is>
          <t>Sí</t>
        </is>
      </c>
      <c r="CM54" s="16" t="inlineStr">
        <is>
          <t>07:49</t>
        </is>
      </c>
      <c r="CN54" s="16" t="inlineStr">
        <is>
          <t>Mate</t>
        </is>
      </c>
      <c r="CO54" s="16" t="inlineStr">
        <is>
          <t>10:30</t>
        </is>
      </c>
      <c r="CP54" s="16" t="n">
        <v>117</v>
      </c>
      <c r="CQ54" s="16" t="n">
        <v>161</v>
      </c>
      <c r="CR54" s="16" t="inlineStr">
        <is>
          <t>Sí</t>
        </is>
      </c>
      <c r="CS54" s="16" t="n">
        <v>20</v>
      </c>
      <c r="CT54" s="16" t="inlineStr">
        <is>
          <t>Alto</t>
        </is>
      </c>
      <c r="CU54" s="16" t="inlineStr">
        <is>
          <t>33 %</t>
        </is>
      </c>
      <c r="CV54" s="16" t="inlineStr">
        <is>
          <t>Sí</t>
        </is>
      </c>
      <c r="CW54" s="16" t="n">
        <v>10</v>
      </c>
      <c r="CX54" s="16" t="inlineStr">
        <is>
          <t>6</t>
        </is>
      </c>
      <c r="CY54" s="16" t="inlineStr">
        <is>
          <t>Bajo</t>
        </is>
      </c>
    </row>
    <row r="55">
      <c r="A55" s="16" t="inlineStr">
        <is>
          <t>demo-54</t>
        </is>
      </c>
      <c r="B55" s="16" t="inlineStr">
        <is>
          <t>C1-0054</t>
        </is>
      </c>
      <c r="C55" s="16" t="inlineStr">
        <is>
          <t>453-50-4400</t>
        </is>
      </c>
      <c r="D55" s="16" t="n">
        <v>453</v>
      </c>
      <c r="E55" s="16" t="n">
        <v>50</v>
      </c>
      <c r="F55" s="16" t="inlineStr">
        <is>
          <t>4400</t>
        </is>
      </c>
      <c r="G55" s="17" t="n">
        <v>46290</v>
      </c>
      <c r="H55" s="16" t="inlineStr">
        <is>
          <t>12:03</t>
        </is>
      </c>
      <c r="J55" s="16" t="inlineStr">
        <is>
          <t>C</t>
        </is>
      </c>
      <c r="K55" s="16" t="inlineStr">
        <is>
          <t>1</t>
        </is>
      </c>
      <c r="L55" s="16" t="inlineStr">
        <is>
          <t>Encuestador C</t>
        </is>
      </c>
      <c r="M55" s="16" t="inlineStr">
        <is>
          <t>Puesto 2</t>
        </is>
      </c>
      <c r="N55" s="16" t="inlineStr">
        <is>
          <t>Sí</t>
        </is>
      </c>
      <c r="O55" s="16" t="inlineStr">
        <is>
          <t>Sí</t>
        </is>
      </c>
      <c r="P55" s="16" t="n">
        <v>39</v>
      </c>
      <c r="Q55" s="16" t="inlineStr">
        <is>
          <t>Sí</t>
        </is>
      </c>
      <c r="R55" s="16" t="inlineStr">
        <is>
          <t>Sí</t>
        </is>
      </c>
      <c r="S55" s="16" t="inlineStr">
        <is>
          <t>Sí</t>
        </is>
      </c>
      <c r="T55" s="16" t="inlineStr">
        <is>
          <t>finalizado</t>
        </is>
      </c>
      <c r="U55" s="16" t="inlineStr">
        <is>
          <t>2026-10-v2</t>
        </is>
      </c>
      <c r="V55" s="16" t="inlineStr">
        <is>
          <t>2026-09-25T15:00:00.000Z</t>
        </is>
      </c>
      <c r="W55" s="16" t="inlineStr">
        <is>
          <t>Argentina</t>
        </is>
      </c>
      <c r="Y55" s="16" t="inlineStr">
        <is>
          <t>Secundaria completa</t>
        </is>
      </c>
      <c r="Z55" s="16" t="inlineStr">
        <is>
          <t>No</t>
        </is>
      </c>
      <c r="AA55" s="16" t="inlineStr">
        <is>
          <t>1</t>
        </is>
      </c>
      <c r="AB55" s="16" t="inlineStr">
        <is>
          <t>5</t>
        </is>
      </c>
      <c r="AC55" s="16" t="inlineStr">
        <is>
          <t>Guaraní</t>
        </is>
      </c>
      <c r="AE55" s="16" t="inlineStr">
        <is>
          <t>Español</t>
        </is>
      </c>
      <c r="AG55" s="16" t="inlineStr">
        <is>
          <t>Argentina</t>
        </is>
      </c>
      <c r="AI55" s="16" t="inlineStr">
        <is>
          <t>Bueno</t>
        </is>
      </c>
      <c r="AJ55" s="16" t="n">
        <v>21</v>
      </c>
      <c r="AK55" s="16" t="inlineStr">
        <is>
          <t>Viaje internacional</t>
        </is>
      </c>
      <c r="AL55" s="16" t="inlineStr">
        <is>
          <t>Quincenalmente</t>
        </is>
      </c>
      <c r="AN55" s="16" t="inlineStr">
        <is>
          <t>2 veces por semana</t>
        </is>
      </c>
      <c r="AP55" s="16" t="inlineStr">
        <is>
          <t>Dueño del camión</t>
        </is>
      </c>
      <c r="AR55" s="16" t="inlineStr">
        <is>
          <t>Disconforme</t>
        </is>
      </c>
      <c r="AS55" s="16" t="inlineStr">
        <is>
          <t>Sí</t>
        </is>
      </c>
      <c r="AT55" s="16" t="n">
        <v>5.4</v>
      </c>
      <c r="AU55" s="16" t="inlineStr">
        <is>
          <t>Sí</t>
        </is>
      </c>
      <c r="AV55" s="16" t="inlineStr">
        <is>
          <t>Paradores; Estaciones de servicio</t>
        </is>
      </c>
      <c r="AX55" s="16" t="n">
        <v>4.3</v>
      </c>
      <c r="AY55" s="16" t="inlineStr">
        <is>
          <t>Nunca</t>
        </is>
      </c>
      <c r="AZ55" s="16" t="inlineStr">
        <is>
          <t>Gaseosas</t>
        </is>
      </c>
      <c r="BB55" s="16" t="inlineStr">
        <is>
          <t>Sí, siempre</t>
        </is>
      </c>
      <c r="BC55" s="16" t="inlineStr">
        <is>
          <t>Sí</t>
        </is>
      </c>
      <c r="BD55" s="16" t="inlineStr">
        <is>
          <t>No</t>
        </is>
      </c>
      <c r="BE55" s="16" t="inlineStr">
        <is>
          <t>Parcialmente</t>
        </is>
      </c>
      <c r="BF55" s="16" t="inlineStr">
        <is>
          <t>Seguro de salud</t>
        </is>
      </c>
      <c r="BG55" s="16" t="inlineStr">
        <is>
          <t>Ninguno</t>
        </is>
      </c>
      <c r="BH55" s="16" t="inlineStr">
        <is>
          <t>Nunca</t>
        </is>
      </c>
      <c r="BI55" s="16" t="inlineStr">
        <is>
          <t>Sistema privado</t>
        </is>
      </c>
      <c r="BJ55" s="16" t="inlineStr">
        <is>
          <t>Sí</t>
        </is>
      </c>
      <c r="BK55" s="16" t="inlineStr">
        <is>
          <t>Cervical</t>
        </is>
      </c>
      <c r="BL55" s="16" t="inlineStr">
        <is>
          <t>Medicamentos</t>
        </is>
      </c>
      <c r="BM55" s="16" t="inlineStr">
        <is>
          <t>Ibuprofeno</t>
        </is>
      </c>
      <c r="BN55" s="16" t="inlineStr">
        <is>
          <t>Obesidad</t>
        </is>
      </c>
      <c r="BP55" s="16" t="inlineStr">
        <is>
          <t>2 a 3 veces por semana</t>
        </is>
      </c>
      <c r="BQ55" s="16" t="inlineStr">
        <is>
          <t>No</t>
        </is>
      </c>
      <c r="BS55" s="16" t="inlineStr">
        <is>
          <t>Sí</t>
        </is>
      </c>
      <c r="BT55" s="16" t="inlineStr">
        <is>
          <t>No</t>
        </is>
      </c>
      <c r="BU55" s="16" t="inlineStr">
        <is>
          <t>A veces</t>
        </is>
      </c>
      <c r="BV55" s="16" t="inlineStr">
        <is>
          <t>No</t>
        </is>
      </c>
      <c r="BW55" s="16" t="inlineStr">
        <is>
          <t>No</t>
        </is>
      </c>
      <c r="BX55" s="16" t="inlineStr">
        <is>
          <t>Varón</t>
        </is>
      </c>
      <c r="BY55" s="16" t="n">
        <v>89.2</v>
      </c>
      <c r="BZ55" s="16" t="n">
        <v>1.68</v>
      </c>
      <c r="CA55" s="16" t="n">
        <v>31.6</v>
      </c>
      <c r="CB55" s="16" t="n">
        <v>103</v>
      </c>
      <c r="CC55" s="16" t="n">
        <v>156</v>
      </c>
      <c r="CD55" s="16" t="n">
        <v>99</v>
      </c>
      <c r="CE55" s="16" t="inlineStr">
        <is>
          <t>No</t>
        </is>
      </c>
      <c r="CF55" s="16" t="inlineStr">
        <is>
          <t>No</t>
        </is>
      </c>
      <c r="CG55" s="16" t="inlineStr">
        <is>
          <t>No</t>
        </is>
      </c>
      <c r="CH55" s="16" t="inlineStr">
        <is>
          <t>No</t>
        </is>
      </c>
      <c r="CI55" s="16" t="inlineStr">
        <is>
          <t>Sí</t>
        </is>
      </c>
      <c r="CJ55" s="16" t="inlineStr">
        <is>
          <t>No</t>
        </is>
      </c>
      <c r="CK55" s="16" t="inlineStr">
        <is>
          <t>Sí</t>
        </is>
      </c>
      <c r="CL55" s="16" t="inlineStr">
        <is>
          <t>Sí</t>
        </is>
      </c>
      <c r="CM55" s="16" t="inlineStr">
        <is>
          <t>07:38</t>
        </is>
      </c>
      <c r="CN55" s="16" t="inlineStr">
        <is>
          <t>Mate</t>
        </is>
      </c>
      <c r="CO55" s="16" t="inlineStr">
        <is>
          <t>13:30</t>
        </is>
      </c>
      <c r="CP55" s="16" t="n">
        <v>106</v>
      </c>
      <c r="CQ55" s="16" t="n">
        <v>352</v>
      </c>
      <c r="CR55" s="16" t="inlineStr">
        <is>
          <t>Sí</t>
        </is>
      </c>
      <c r="CS55" s="16" t="n">
        <v>17</v>
      </c>
      <c r="CT55" s="16" t="inlineStr">
        <is>
          <t>Alto</t>
        </is>
      </c>
      <c r="CU55" s="16" t="inlineStr">
        <is>
          <t>33 %</t>
        </is>
      </c>
      <c r="CV55" s="16" t="inlineStr">
        <is>
          <t>Sí</t>
        </is>
      </c>
      <c r="CW55" s="16" t="n">
        <v>12</v>
      </c>
      <c r="CX55" s="16" t="inlineStr">
        <is>
          <t>10</t>
        </is>
      </c>
      <c r="CY55" s="16" t="inlineStr">
        <is>
          <t>Moderado</t>
        </is>
      </c>
    </row>
    <row r="56">
      <c r="A56" s="16" t="inlineStr">
        <is>
          <t>demo-55</t>
        </is>
      </c>
      <c r="B56" s="16" t="inlineStr">
        <is>
          <t>C1-0055</t>
        </is>
      </c>
      <c r="C56" s="16" t="inlineStr">
        <is>
          <t>454-23-4400</t>
        </is>
      </c>
      <c r="D56" s="16" t="n">
        <v>454</v>
      </c>
      <c r="E56" s="16" t="n">
        <v>23</v>
      </c>
      <c r="F56" s="16" t="inlineStr">
        <is>
          <t>4400</t>
        </is>
      </c>
      <c r="G56" s="17" t="n">
        <v>46291</v>
      </c>
      <c r="H56" s="16" t="inlineStr">
        <is>
          <t>13:06</t>
        </is>
      </c>
      <c r="J56" s="16" t="inlineStr">
        <is>
          <t>C</t>
        </is>
      </c>
      <c r="K56" s="16" t="inlineStr">
        <is>
          <t>1</t>
        </is>
      </c>
      <c r="L56" s="16" t="inlineStr">
        <is>
          <t>Encuestador C</t>
        </is>
      </c>
      <c r="M56" s="16" t="inlineStr">
        <is>
          <t>Puesto 2</t>
        </is>
      </c>
      <c r="N56" s="16" t="inlineStr">
        <is>
          <t>Sí</t>
        </is>
      </c>
      <c r="O56" s="16" t="inlineStr">
        <is>
          <t>No</t>
        </is>
      </c>
      <c r="P56" s="16" t="n">
        <v>39</v>
      </c>
      <c r="Q56" s="16" t="inlineStr">
        <is>
          <t>Sí</t>
        </is>
      </c>
      <c r="R56" s="16" t="inlineStr">
        <is>
          <t>Sí</t>
        </is>
      </c>
      <c r="S56" s="16" t="inlineStr">
        <is>
          <t>Sí</t>
        </is>
      </c>
      <c r="T56" s="16" t="inlineStr">
        <is>
          <t>finalizado</t>
        </is>
      </c>
      <c r="U56" s="16" t="inlineStr">
        <is>
          <t>2026-10-v2</t>
        </is>
      </c>
      <c r="V56" s="16" t="inlineStr">
        <is>
          <t>2026-09-26T15:00:00.000Z</t>
        </is>
      </c>
      <c r="W56" s="16" t="inlineStr">
        <is>
          <t>Chile</t>
        </is>
      </c>
      <c r="Y56" s="16" t="inlineStr">
        <is>
          <t>Secundaria completa</t>
        </is>
      </c>
      <c r="Z56" s="16" t="inlineStr">
        <is>
          <t>Sí</t>
        </is>
      </c>
      <c r="AA56" s="16" t="inlineStr">
        <is>
          <t>1</t>
        </is>
      </c>
      <c r="AB56" s="16" t="inlineStr">
        <is>
          <t>Más de 5</t>
        </is>
      </c>
      <c r="AC56" s="16" t="inlineStr">
        <is>
          <t>Español</t>
        </is>
      </c>
      <c r="AE56" s="16" t="inlineStr">
        <is>
          <t>Español</t>
        </is>
      </c>
      <c r="AG56" s="16" t="inlineStr">
        <is>
          <t>Argentina</t>
        </is>
      </c>
      <c r="AI56" s="16" t="inlineStr">
        <is>
          <t>Bueno</t>
        </is>
      </c>
      <c r="AJ56" s="16" t="n">
        <v>2</v>
      </c>
      <c r="AK56" s="16" t="inlineStr">
        <is>
          <t>Viaje interprovincial</t>
        </is>
      </c>
      <c r="AL56" s="16" t="inlineStr">
        <is>
          <t>Quincenalmente</t>
        </is>
      </c>
      <c r="AN56" s="16" t="inlineStr">
        <is>
          <t>3 veces por semana</t>
        </is>
      </c>
      <c r="AP56" s="16" t="inlineStr">
        <is>
          <t>Empleado</t>
        </is>
      </c>
      <c r="AR56" s="16" t="inlineStr">
        <is>
          <t>Conforme</t>
        </is>
      </c>
      <c r="AS56" s="16" t="inlineStr">
        <is>
          <t>Duda</t>
        </is>
      </c>
      <c r="AT56" s="16" t="n">
        <v>8.1</v>
      </c>
      <c r="AU56" s="16" t="inlineStr">
        <is>
          <t>Sí</t>
        </is>
      </c>
      <c r="AV56" s="16" t="inlineStr">
        <is>
          <t>Paradores</t>
        </is>
      </c>
      <c r="AX56" s="16" t="n">
        <v>7.5</v>
      </c>
      <c r="AY56" s="16" t="inlineStr">
        <is>
          <t>Nunca</t>
        </is>
      </c>
      <c r="AZ56" s="16" t="inlineStr">
        <is>
          <t>Café</t>
        </is>
      </c>
      <c r="BB56" s="16" t="inlineStr">
        <is>
          <t>A veces</t>
        </is>
      </c>
      <c r="BC56" s="16" t="inlineStr">
        <is>
          <t>Sí</t>
        </is>
      </c>
      <c r="BD56" s="16" t="inlineStr">
        <is>
          <t>Sí</t>
        </is>
      </c>
      <c r="BE56" s="16" t="inlineStr">
        <is>
          <t>No</t>
        </is>
      </c>
      <c r="BF56" s="16" t="inlineStr">
        <is>
          <t>Seguro de salud</t>
        </is>
      </c>
      <c r="BG56" s="16" t="inlineStr">
        <is>
          <t>Ninguno</t>
        </is>
      </c>
      <c r="BH56" s="16" t="inlineStr">
        <is>
          <t>Una vez al año</t>
        </is>
      </c>
      <c r="BI56" s="16" t="inlineStr">
        <is>
          <t>Sistema público</t>
        </is>
      </c>
      <c r="BJ56" s="16" t="inlineStr">
        <is>
          <t>Sí</t>
        </is>
      </c>
      <c r="BK56" s="16" t="inlineStr">
        <is>
          <t>Rodillas</t>
        </is>
      </c>
      <c r="BL56" s="16" t="inlineStr">
        <is>
          <t>Medicamentos; Hierbas</t>
        </is>
      </c>
      <c r="BM56" s="16" t="inlineStr">
        <is>
          <t>Ibuprofeno</t>
        </is>
      </c>
      <c r="BN56" s="16" t="inlineStr">
        <is>
          <t>No tengo diagnóstico de enfermedad</t>
        </is>
      </c>
      <c r="BP56" s="16" t="inlineStr">
        <is>
          <t>Nunca</t>
        </is>
      </c>
      <c r="BQ56" s="16" t="inlineStr">
        <is>
          <t>Energizantes (Speed, Monster, Red Bull, etc.)</t>
        </is>
      </c>
      <c r="BS56" s="16" t="inlineStr">
        <is>
          <t>Sí</t>
        </is>
      </c>
      <c r="BT56" s="16" t="inlineStr">
        <is>
          <t>No</t>
        </is>
      </c>
      <c r="BU56" s="16" t="inlineStr">
        <is>
          <t>Siempre</t>
        </is>
      </c>
      <c r="BV56" s="16" t="inlineStr">
        <is>
          <t>No</t>
        </is>
      </c>
      <c r="BW56" s="16" t="inlineStr">
        <is>
          <t>No</t>
        </is>
      </c>
      <c r="BX56" s="16" t="inlineStr">
        <is>
          <t>Varón</t>
        </is>
      </c>
      <c r="BY56" s="16" t="n">
        <v>85.8</v>
      </c>
      <c r="BZ56" s="16" t="n">
        <v>1.86</v>
      </c>
      <c r="CA56" s="16" t="n">
        <v>24.8</v>
      </c>
      <c r="CB56" s="16" t="n">
        <v>103</v>
      </c>
      <c r="CC56" s="16" t="n">
        <v>134</v>
      </c>
      <c r="CD56" s="16" t="n">
        <v>85</v>
      </c>
      <c r="CE56" s="16" t="inlineStr">
        <is>
          <t>Sí</t>
        </is>
      </c>
      <c r="CF56" s="16" t="inlineStr">
        <is>
          <t>Sí</t>
        </is>
      </c>
      <c r="CG56" s="16" t="inlineStr">
        <is>
          <t>No</t>
        </is>
      </c>
      <c r="CH56" s="16" t="inlineStr">
        <is>
          <t>Sí</t>
        </is>
      </c>
      <c r="CI56" s="16" t="inlineStr">
        <is>
          <t>No</t>
        </is>
      </c>
      <c r="CJ56" s="16" t="inlineStr">
        <is>
          <t>No</t>
        </is>
      </c>
      <c r="CK56" s="16" t="inlineStr">
        <is>
          <t>No</t>
        </is>
      </c>
      <c r="CL56" s="16" t="inlineStr">
        <is>
          <t>Sí</t>
        </is>
      </c>
      <c r="CM56" s="16" t="inlineStr">
        <is>
          <t>07:28</t>
        </is>
      </c>
      <c r="CN56" s="16" t="inlineStr">
        <is>
          <t>Mate</t>
        </is>
      </c>
      <c r="CO56" s="16" t="inlineStr">
        <is>
          <t>12:30</t>
        </is>
      </c>
      <c r="CP56" s="16" t="n">
        <v>99</v>
      </c>
      <c r="CQ56" s="16" t="n">
        <v>302</v>
      </c>
      <c r="CR56" s="16" t="inlineStr">
        <is>
          <t>Sí</t>
        </is>
      </c>
      <c r="CS56" s="16" t="n">
        <v>6</v>
      </c>
      <c r="CT56" s="16" t="inlineStr">
        <is>
          <t>Bajo</t>
        </is>
      </c>
      <c r="CU56" s="16" t="inlineStr">
        <is>
          <t>1 %</t>
        </is>
      </c>
      <c r="CV56" s="16" t="inlineStr">
        <is>
          <t>Sí</t>
        </is>
      </c>
      <c r="CW56" s="16" t="n">
        <v>-7</v>
      </c>
      <c r="CX56" s="16" t="inlineStr">
        <is>
          <t>&lt;1</t>
        </is>
      </c>
      <c r="CY56" s="16" t="inlineStr">
        <is>
          <t>Bajo</t>
        </is>
      </c>
    </row>
    <row r="57">
      <c r="A57" s="16" t="inlineStr">
        <is>
          <t>demo-56</t>
        </is>
      </c>
      <c r="B57" s="16" t="inlineStr">
        <is>
          <t>B1-0056</t>
        </is>
      </c>
      <c r="C57" s="16" t="inlineStr">
        <is>
          <t>255-36-4600</t>
        </is>
      </c>
      <c r="D57" s="16" t="n">
        <v>255</v>
      </c>
      <c r="E57" s="16" t="n">
        <v>36</v>
      </c>
      <c r="F57" s="16" t="inlineStr">
        <is>
          <t>4600</t>
        </is>
      </c>
      <c r="G57" s="17" t="n">
        <v>46290</v>
      </c>
      <c r="H57" s="16" t="inlineStr">
        <is>
          <t>13:05</t>
        </is>
      </c>
      <c r="J57" s="16" t="inlineStr">
        <is>
          <t>B</t>
        </is>
      </c>
      <c r="K57" s="16" t="inlineStr">
        <is>
          <t>1</t>
        </is>
      </c>
      <c r="L57" s="16" t="inlineStr">
        <is>
          <t>Encuestador B</t>
        </is>
      </c>
      <c r="M57" s="16" t="inlineStr">
        <is>
          <t>Puesto 1</t>
        </is>
      </c>
      <c r="N57" s="16" t="inlineStr">
        <is>
          <t>Sí</t>
        </is>
      </c>
      <c r="O57" s="16" t="inlineStr">
        <is>
          <t>Sí</t>
        </is>
      </c>
      <c r="P57" s="16" t="n">
        <v>39</v>
      </c>
      <c r="Q57" s="16" t="inlineStr">
        <is>
          <t>Sí</t>
        </is>
      </c>
      <c r="R57" s="16" t="inlineStr">
        <is>
          <t>No</t>
        </is>
      </c>
      <c r="S57" s="16" t="inlineStr">
        <is>
          <t>No</t>
        </is>
      </c>
      <c r="T57" s="16" t="inlineStr">
        <is>
          <t>finalizado</t>
        </is>
      </c>
      <c r="U57" s="16" t="inlineStr">
        <is>
          <t>2026-10-v2</t>
        </is>
      </c>
      <c r="V57" s="16" t="inlineStr">
        <is>
          <t>2026-09-25T15:00:00.000Z</t>
        </is>
      </c>
      <c r="W57" s="16" t="inlineStr">
        <is>
          <t>Argentina</t>
        </is>
      </c>
      <c r="Y57" s="16" t="inlineStr">
        <is>
          <t>Secundaria incompleta</t>
        </is>
      </c>
      <c r="Z57" s="16" t="inlineStr">
        <is>
          <t>Sí</t>
        </is>
      </c>
      <c r="AA57" s="16" t="inlineStr">
        <is>
          <t>2</t>
        </is>
      </c>
      <c r="AB57" s="16" t="inlineStr">
        <is>
          <t>3</t>
        </is>
      </c>
      <c r="AC57" s="16" t="inlineStr">
        <is>
          <t>Inglés; Español</t>
        </is>
      </c>
      <c r="AE57" s="16" t="inlineStr">
        <is>
          <t>Español</t>
        </is>
      </c>
      <c r="AG57" s="16" t="inlineStr">
        <is>
          <t>Argentina</t>
        </is>
      </c>
      <c r="AI57" s="16" t="inlineStr">
        <is>
          <t>Bueno</t>
        </is>
      </c>
      <c r="AJ57" s="16" t="n">
        <v>12</v>
      </c>
      <c r="AK57" s="16" t="inlineStr">
        <is>
          <t>Viaje provincial (Jujuy)</t>
        </is>
      </c>
      <c r="AL57" s="16" t="inlineStr">
        <is>
          <t>Quincenalmente</t>
        </is>
      </c>
      <c r="AN57" s="16" t="inlineStr">
        <is>
          <t>Diariamente</t>
        </is>
      </c>
      <c r="AP57" s="16" t="inlineStr">
        <is>
          <t>Dueño del camión</t>
        </is>
      </c>
      <c r="AR57" s="16" t="inlineStr">
        <is>
          <t>Conforme</t>
        </is>
      </c>
      <c r="AS57" s="16" t="inlineStr">
        <is>
          <t>Sí</t>
        </is>
      </c>
      <c r="AT57" s="16" t="n">
        <v>7.1</v>
      </c>
      <c r="AU57" s="16" t="inlineStr">
        <is>
          <t>Sí</t>
        </is>
      </c>
      <c r="AV57" s="16" t="inlineStr">
        <is>
          <t>Paradores</t>
        </is>
      </c>
      <c r="AX57" s="16" t="n">
        <v>4.6</v>
      </c>
      <c r="AY57" s="16" t="inlineStr">
        <is>
          <t>Todos los días</t>
        </is>
      </c>
      <c r="AZ57" s="16" t="inlineStr">
        <is>
          <t>Gaseosas; Mate</t>
        </is>
      </c>
      <c r="BB57" s="16" t="inlineStr">
        <is>
          <t>Nunca</t>
        </is>
      </c>
      <c r="BC57" s="16" t="inlineStr">
        <is>
          <t>No</t>
        </is>
      </c>
      <c r="BD57" s="16" t="inlineStr">
        <is>
          <t>Sí</t>
        </is>
      </c>
      <c r="BE57" s="16" t="inlineStr">
        <is>
          <t>Parcialmente</t>
        </is>
      </c>
      <c r="BF57" s="16" t="inlineStr">
        <is>
          <t>Obra social</t>
        </is>
      </c>
      <c r="BG57" s="16" t="inlineStr">
        <is>
          <t>Ninguno</t>
        </is>
      </c>
      <c r="BH57" s="16" t="inlineStr">
        <is>
          <t>Solo cuando me siento mal</t>
        </is>
      </c>
      <c r="BI57" s="16" t="inlineStr">
        <is>
          <t>Sistema público; Otros (medicina tradicional, alternativa, etc.)</t>
        </is>
      </c>
      <c r="BJ57" s="16" t="inlineStr">
        <is>
          <t>No</t>
        </is>
      </c>
      <c r="BL57" s="16" t="inlineStr">
        <is>
          <t>Medicamentos; Hierbas</t>
        </is>
      </c>
      <c r="BM57" s="16" t="inlineStr">
        <is>
          <t>Ibuprofeno</t>
        </is>
      </c>
      <c r="BN57" s="16" t="inlineStr">
        <is>
          <t>No tengo diagnóstico de enfermedad</t>
        </is>
      </c>
      <c r="BP57" s="16" t="inlineStr">
        <is>
          <t>Rara vez</t>
        </is>
      </c>
      <c r="BQ57" s="16" t="inlineStr">
        <is>
          <t>Café; Coca-Cola</t>
        </is>
      </c>
      <c r="BS57" s="16" t="inlineStr">
        <is>
          <t>Sí</t>
        </is>
      </c>
      <c r="BT57" s="16" t="inlineStr">
        <is>
          <t>Sí</t>
        </is>
      </c>
      <c r="BU57" s="16" t="inlineStr">
        <is>
          <t>A veces</t>
        </is>
      </c>
      <c r="BV57" s="16" t="inlineStr">
        <is>
          <t>Sí</t>
        </is>
      </c>
    </row>
    <row r="58">
      <c r="A58" s="16" t="inlineStr">
        <is>
          <t>demo-57</t>
        </is>
      </c>
      <c r="B58" s="16" t="inlineStr">
        <is>
          <t>A1-0057</t>
        </is>
      </c>
      <c r="C58" s="16" t="inlineStr">
        <is>
          <t>057-54-4500</t>
        </is>
      </c>
      <c r="D58" s="16" t="n">
        <v>57</v>
      </c>
      <c r="E58" s="16" t="n">
        <v>54</v>
      </c>
      <c r="F58" s="16" t="inlineStr">
        <is>
          <t>4500</t>
        </is>
      </c>
      <c r="G58" s="17" t="n">
        <v>46289</v>
      </c>
      <c r="H58" s="16" t="inlineStr">
        <is>
          <t>15:06</t>
        </is>
      </c>
      <c r="J58" s="16" t="inlineStr">
        <is>
          <t>A</t>
        </is>
      </c>
      <c r="K58" s="16" t="inlineStr">
        <is>
          <t>1</t>
        </is>
      </c>
      <c r="L58" s="16" t="inlineStr">
        <is>
          <t>Encuestador A</t>
        </is>
      </c>
      <c r="M58" s="16" t="inlineStr">
        <is>
          <t>Puesto 2</t>
        </is>
      </c>
      <c r="N58" s="16" t="inlineStr">
        <is>
          <t>Sí</t>
        </is>
      </c>
      <c r="O58" s="16" t="inlineStr">
        <is>
          <t>No</t>
        </is>
      </c>
      <c r="P58" s="16" t="n">
        <v>38</v>
      </c>
      <c r="Q58" s="16" t="inlineStr">
        <is>
          <t>Sí</t>
        </is>
      </c>
      <c r="R58" s="16" t="inlineStr">
        <is>
          <t>Sí</t>
        </is>
      </c>
      <c r="S58" s="16" t="inlineStr">
        <is>
          <t>No</t>
        </is>
      </c>
      <c r="T58" s="16" t="inlineStr">
        <is>
          <t>finalizado</t>
        </is>
      </c>
      <c r="U58" s="16" t="inlineStr">
        <is>
          <t>2026-10-v2</t>
        </is>
      </c>
      <c r="V58" s="16" t="inlineStr">
        <is>
          <t>2026-09-24T15:00:00.000Z</t>
        </is>
      </c>
      <c r="W58" s="16" t="inlineStr">
        <is>
          <t>Argentina</t>
        </is>
      </c>
      <c r="Y58" s="16" t="inlineStr">
        <is>
          <t>Universitario incompleto</t>
        </is>
      </c>
      <c r="Z58" s="16" t="inlineStr">
        <is>
          <t>Sí</t>
        </is>
      </c>
      <c r="AA58" s="16" t="inlineStr">
        <is>
          <t>2</t>
        </is>
      </c>
      <c r="AB58" s="16" t="inlineStr">
        <is>
          <t>4</t>
        </is>
      </c>
      <c r="AC58" s="16" t="inlineStr">
        <is>
          <t>Guaraní</t>
        </is>
      </c>
      <c r="AE58" s="16" t="inlineStr">
        <is>
          <t>Español</t>
        </is>
      </c>
      <c r="AG58" s="16" t="inlineStr">
        <is>
          <t>Argentina</t>
        </is>
      </c>
      <c r="AI58" s="16" t="inlineStr">
        <is>
          <t>Muy bueno</t>
        </is>
      </c>
      <c r="AJ58" s="16" t="n">
        <v>8</v>
      </c>
      <c r="AK58" s="16" t="inlineStr">
        <is>
          <t>Viaje interprovincial</t>
        </is>
      </c>
      <c r="AL58" s="16" t="inlineStr">
        <is>
          <t>Quincenalmente</t>
        </is>
      </c>
      <c r="AN58" s="16" t="inlineStr">
        <is>
          <t>2 veces por semana</t>
        </is>
      </c>
      <c r="AP58" s="16" t="inlineStr">
        <is>
          <t>Empleado</t>
        </is>
      </c>
      <c r="AR58" s="16" t="inlineStr">
        <is>
          <t>Disconforme</t>
        </is>
      </c>
      <c r="AS58" s="16" t="inlineStr">
        <is>
          <t>Sí</t>
        </is>
      </c>
      <c r="AT58" s="16" t="n">
        <v>2.4</v>
      </c>
      <c r="AU58" s="16" t="inlineStr">
        <is>
          <t>Sí</t>
        </is>
      </c>
      <c r="AV58" s="16" t="inlineStr">
        <is>
          <t>En el camión al costado de la ruta</t>
        </is>
      </c>
      <c r="AX58" s="16" t="n">
        <v>4.3</v>
      </c>
      <c r="AY58" s="16" t="inlineStr">
        <is>
          <t>Todos los días</t>
        </is>
      </c>
      <c r="AZ58" s="16" t="inlineStr">
        <is>
          <t>Café; Mate</t>
        </is>
      </c>
      <c r="BB58" s="16" t="inlineStr">
        <is>
          <t>Nunca</t>
        </is>
      </c>
      <c r="BC58" s="16" t="inlineStr">
        <is>
          <t>No</t>
        </is>
      </c>
      <c r="BD58" s="16" t="inlineStr">
        <is>
          <t>No</t>
        </is>
      </c>
      <c r="BE58" s="16" t="inlineStr">
        <is>
          <t>Sí</t>
        </is>
      </c>
      <c r="BF58" s="16" t="inlineStr">
        <is>
          <t>Obra social</t>
        </is>
      </c>
      <c r="BG58" s="16" t="inlineStr">
        <is>
          <t>Sistema público</t>
        </is>
      </c>
      <c r="BH58" s="16" t="inlineStr">
        <is>
          <t>Solo cuando me siento mal</t>
        </is>
      </c>
      <c r="BI58" s="16" t="inlineStr">
        <is>
          <t>Sistema privado</t>
        </is>
      </c>
      <c r="BJ58" s="16" t="inlineStr">
        <is>
          <t>Sí</t>
        </is>
      </c>
      <c r="BK58" s="16" t="inlineStr">
        <is>
          <t>Cervical</t>
        </is>
      </c>
      <c r="BL58" s="16" t="inlineStr">
        <is>
          <t>Ninguno</t>
        </is>
      </c>
      <c r="BN58" s="16" t="inlineStr">
        <is>
          <t>Musculoesqueléticos</t>
        </is>
      </c>
      <c r="BP58" s="16" t="inlineStr">
        <is>
          <t>Una vez a la semana</t>
        </is>
      </c>
      <c r="BQ58" s="16" t="inlineStr">
        <is>
          <t>Yerba mate</t>
        </is>
      </c>
      <c r="BS58" s="16" t="inlineStr">
        <is>
          <t>No</t>
        </is>
      </c>
      <c r="BT58" s="16" t="inlineStr">
        <is>
          <t>Sí</t>
        </is>
      </c>
      <c r="BU58" s="16" t="inlineStr">
        <is>
          <t>Siempre</t>
        </is>
      </c>
      <c r="BV58" s="16" t="inlineStr">
        <is>
          <t>No</t>
        </is>
      </c>
      <c r="BW58" s="16" t="inlineStr">
        <is>
          <t>No</t>
        </is>
      </c>
      <c r="BX58" s="16" t="inlineStr">
        <is>
          <t>Varón</t>
        </is>
      </c>
      <c r="BY58" s="16" t="n">
        <v>105.5</v>
      </c>
      <c r="BZ58" s="16" t="n">
        <v>1.78</v>
      </c>
      <c r="CA58" s="16" t="n">
        <v>33.3</v>
      </c>
      <c r="CB58" s="16" t="n">
        <v>110</v>
      </c>
      <c r="CC58" s="16" t="n">
        <v>124</v>
      </c>
      <c r="CD58" s="16" t="n">
        <v>79</v>
      </c>
      <c r="CE58" s="16" t="inlineStr">
        <is>
          <t>No</t>
        </is>
      </c>
      <c r="CF58" s="16" t="inlineStr">
        <is>
          <t>Sí</t>
        </is>
      </c>
      <c r="CG58" s="16" t="inlineStr">
        <is>
          <t>Sí</t>
        </is>
      </c>
      <c r="CH58" s="16" t="inlineStr">
        <is>
          <t>No</t>
        </is>
      </c>
      <c r="CI58" s="16" t="inlineStr">
        <is>
          <t>No</t>
        </is>
      </c>
      <c r="CJ58" s="16" t="inlineStr">
        <is>
          <t>Sí, parientes lejanos</t>
        </is>
      </c>
      <c r="CK58" s="16" t="inlineStr">
        <is>
          <t>No</t>
        </is>
      </c>
      <c r="CL58" s="16" t="inlineStr">
        <is>
          <t>No</t>
        </is>
      </c>
      <c r="CR58" s="16" t="inlineStr">
        <is>
          <t>Sí</t>
        </is>
      </c>
      <c r="CS58" s="16" t="n">
        <v>14</v>
      </c>
      <c r="CT58" s="16" t="inlineStr">
        <is>
          <t>Moderado</t>
        </is>
      </c>
      <c r="CU58" s="16" t="inlineStr">
        <is>
          <t>17 %</t>
        </is>
      </c>
      <c r="CV58" s="16" t="inlineStr">
        <is>
          <t>Sí</t>
        </is>
      </c>
      <c r="CW58" s="16" t="n">
        <v>8</v>
      </c>
      <c r="CX58" s="16" t="inlineStr">
        <is>
          <t>4</t>
        </is>
      </c>
      <c r="CY58" s="16" t="inlineStr">
        <is>
          <t>Bajo</t>
        </is>
      </c>
    </row>
    <row r="59">
      <c r="A59" s="16" t="inlineStr">
        <is>
          <t>demo-58</t>
        </is>
      </c>
      <c r="B59" s="16" t="inlineStr">
        <is>
          <t>A1-0058</t>
        </is>
      </c>
      <c r="C59" s="16" t="inlineStr">
        <is>
          <t>058-37-4612</t>
        </is>
      </c>
      <c r="D59" s="16" t="n">
        <v>58</v>
      </c>
      <c r="E59" s="16" t="n">
        <v>37</v>
      </c>
      <c r="F59" s="16" t="inlineStr">
        <is>
          <t>4612</t>
        </is>
      </c>
      <c r="G59" s="17" t="n">
        <v>46289</v>
      </c>
      <c r="H59" s="16" t="inlineStr">
        <is>
          <t>13:04</t>
        </is>
      </c>
      <c r="J59" s="16" t="inlineStr">
        <is>
          <t>A</t>
        </is>
      </c>
      <c r="K59" s="16" t="inlineStr">
        <is>
          <t>1</t>
        </is>
      </c>
      <c r="L59" s="16" t="inlineStr">
        <is>
          <t>Encuestador A</t>
        </is>
      </c>
      <c r="M59" s="16" t="inlineStr">
        <is>
          <t>Puesto 2</t>
        </is>
      </c>
      <c r="N59" s="16" t="inlineStr">
        <is>
          <t>Sí</t>
        </is>
      </c>
      <c r="O59" s="16" t="inlineStr">
        <is>
          <t>Sí</t>
        </is>
      </c>
      <c r="P59" s="16" t="n">
        <v>39</v>
      </c>
      <c r="Q59" s="16" t="inlineStr">
        <is>
          <t>Sí</t>
        </is>
      </c>
      <c r="R59" s="16" t="inlineStr">
        <is>
          <t>Sí</t>
        </is>
      </c>
      <c r="S59" s="16" t="inlineStr">
        <is>
          <t>Sí</t>
        </is>
      </c>
      <c r="T59" s="16" t="inlineStr">
        <is>
          <t>finalizado</t>
        </is>
      </c>
      <c r="U59" s="16" t="inlineStr">
        <is>
          <t>2026-10-v2</t>
        </is>
      </c>
      <c r="V59" s="16" t="inlineStr">
        <is>
          <t>2026-09-24T15:00:00.000Z</t>
        </is>
      </c>
      <c r="W59" s="16" t="inlineStr">
        <is>
          <t>Argentina</t>
        </is>
      </c>
      <c r="Y59" s="16" t="inlineStr">
        <is>
          <t>Secundaria completa</t>
        </is>
      </c>
      <c r="Z59" s="16" t="inlineStr">
        <is>
          <t>No</t>
        </is>
      </c>
      <c r="AA59" s="16" t="inlineStr">
        <is>
          <t>5</t>
        </is>
      </c>
      <c r="AB59" s="16" t="inlineStr">
        <is>
          <t>4</t>
        </is>
      </c>
      <c r="AC59" s="16" t="inlineStr">
        <is>
          <t>Portugués</t>
        </is>
      </c>
      <c r="AE59" s="16" t="inlineStr">
        <is>
          <t>Español</t>
        </is>
      </c>
      <c r="AG59" s="16" t="inlineStr">
        <is>
          <t>Argentina</t>
        </is>
      </c>
      <c r="AI59" s="16" t="inlineStr">
        <is>
          <t>Malo</t>
        </is>
      </c>
      <c r="AJ59" s="16" t="n">
        <v>12</v>
      </c>
      <c r="AK59" s="16" t="inlineStr">
        <is>
          <t>Viaje interprovincial</t>
        </is>
      </c>
      <c r="AL59" s="16" t="inlineStr">
        <is>
          <t>2 veces por semana</t>
        </is>
      </c>
      <c r="AN59" s="16" t="inlineStr">
        <is>
          <t>Diariamente</t>
        </is>
      </c>
      <c r="AP59" s="16" t="inlineStr">
        <is>
          <t>Dueño del camión</t>
        </is>
      </c>
      <c r="AR59" s="16" t="inlineStr">
        <is>
          <t>Parcialmente conforme</t>
        </is>
      </c>
      <c r="AS59" s="16" t="inlineStr">
        <is>
          <t>No</t>
        </is>
      </c>
      <c r="AT59" s="16" t="n">
        <v>5</v>
      </c>
      <c r="AU59" s="16" t="inlineStr">
        <is>
          <t>Sí</t>
        </is>
      </c>
      <c r="AV59" s="16" t="inlineStr">
        <is>
          <t>Estaciones de servicio; Paradores</t>
        </is>
      </c>
      <c r="AX59" s="16" t="n">
        <v>5.8</v>
      </c>
      <c r="AY59" s="16" t="inlineStr">
        <is>
          <t>Casi nunca</t>
        </is>
      </c>
      <c r="AZ59" s="16" t="inlineStr">
        <is>
          <t>Agua</t>
        </is>
      </c>
      <c r="BB59" s="16" t="inlineStr">
        <is>
          <t>Casi nunca</t>
        </is>
      </c>
      <c r="BC59" s="16" t="inlineStr">
        <is>
          <t>Sí</t>
        </is>
      </c>
      <c r="BD59" s="16" t="inlineStr">
        <is>
          <t>No</t>
        </is>
      </c>
      <c r="BE59" s="16" t="inlineStr">
        <is>
          <t>No</t>
        </is>
      </c>
      <c r="BF59" s="16" t="inlineStr">
        <is>
          <t>Obra social</t>
        </is>
      </c>
      <c r="BG59" s="16" t="inlineStr">
        <is>
          <t>Sistema privado</t>
        </is>
      </c>
      <c r="BH59" s="16" t="inlineStr">
        <is>
          <t>Solo cuando me siento mal</t>
        </is>
      </c>
      <c r="BI59" s="16" t="inlineStr">
        <is>
          <t>Sistema público; Otros (medicina tradicional, alternativa, etc.)</t>
        </is>
      </c>
      <c r="BJ59" s="16" t="inlineStr">
        <is>
          <t>Sí</t>
        </is>
      </c>
      <c r="BK59" s="16" t="inlineStr">
        <is>
          <t>Lumbar</t>
        </is>
      </c>
      <c r="BL59" s="16" t="inlineStr">
        <is>
          <t>Medicamentos; Hierbas</t>
        </is>
      </c>
      <c r="BM59" s="16" t="inlineStr">
        <is>
          <t>Ibuprofeno</t>
        </is>
      </c>
      <c r="BN59" s="16" t="inlineStr">
        <is>
          <t>Musculoesqueléticos</t>
        </is>
      </c>
      <c r="BP59" s="16" t="inlineStr">
        <is>
          <t>Una vez a la semana</t>
        </is>
      </c>
      <c r="BQ59" s="16" t="inlineStr">
        <is>
          <t>Café; Coca-Cola</t>
        </is>
      </c>
      <c r="BS59" s="16" t="inlineStr">
        <is>
          <t>No</t>
        </is>
      </c>
      <c r="BT59" s="16" t="inlineStr">
        <is>
          <t>No</t>
        </is>
      </c>
      <c r="BU59" s="16" t="inlineStr">
        <is>
          <t>A veces</t>
        </is>
      </c>
      <c r="BV59" s="16" t="inlineStr">
        <is>
          <t>No</t>
        </is>
      </c>
      <c r="BW59" s="16" t="inlineStr">
        <is>
          <t>Sí</t>
        </is>
      </c>
      <c r="BX59" s="16" t="inlineStr">
        <is>
          <t>Varón</t>
        </is>
      </c>
      <c r="BY59" s="16" t="n">
        <v>100.4</v>
      </c>
      <c r="BZ59" s="16" t="n">
        <v>1.75</v>
      </c>
      <c r="CA59" s="16" t="n">
        <v>32.8</v>
      </c>
      <c r="CB59" s="16" t="n">
        <v>112</v>
      </c>
      <c r="CC59" s="16" t="n">
        <v>127</v>
      </c>
      <c r="CD59" s="16" t="n">
        <v>81</v>
      </c>
      <c r="CE59" s="16" t="inlineStr">
        <is>
          <t>No</t>
        </is>
      </c>
      <c r="CF59" s="16" t="inlineStr">
        <is>
          <t>No</t>
        </is>
      </c>
      <c r="CG59" s="16" t="inlineStr">
        <is>
          <t>No</t>
        </is>
      </c>
      <c r="CH59" s="16" t="inlineStr">
        <is>
          <t>No</t>
        </is>
      </c>
      <c r="CI59" s="16" t="inlineStr">
        <is>
          <t>No</t>
        </is>
      </c>
      <c r="CJ59" s="16" t="inlineStr">
        <is>
          <t>Sí, primer grado</t>
        </is>
      </c>
      <c r="CK59" s="16" t="inlineStr">
        <is>
          <t>No</t>
        </is>
      </c>
      <c r="CL59" s="16" t="inlineStr">
        <is>
          <t>Sí</t>
        </is>
      </c>
      <c r="CM59" s="16" t="inlineStr">
        <is>
          <t>07:38</t>
        </is>
      </c>
      <c r="CN59" s="16" t="inlineStr">
        <is>
          <t>Mate</t>
        </is>
      </c>
      <c r="CO59" s="16" t="inlineStr">
        <is>
          <t>10:30</t>
        </is>
      </c>
      <c r="CP59" s="16" t="n">
        <v>93</v>
      </c>
      <c r="CQ59" s="16" t="n">
        <v>172</v>
      </c>
      <c r="CR59" s="16" t="inlineStr">
        <is>
          <t>No</t>
        </is>
      </c>
      <c r="CV59" s="16" t="inlineStr">
        <is>
          <t>Sí</t>
        </is>
      </c>
      <c r="CW59" s="16" t="n">
        <v>2</v>
      </c>
      <c r="CX59" s="16" t="inlineStr">
        <is>
          <t>1</t>
        </is>
      </c>
      <c r="CY59" s="16" t="inlineStr">
        <is>
          <t>Bajo</t>
        </is>
      </c>
    </row>
    <row r="60">
      <c r="A60" s="16" t="inlineStr">
        <is>
          <t>demo-59</t>
        </is>
      </c>
      <c r="B60" s="16" t="inlineStr">
        <is>
          <t>A1-0059</t>
        </is>
      </c>
      <c r="C60" s="16" t="inlineStr">
        <is>
          <t>059-67-4600</t>
        </is>
      </c>
      <c r="D60" s="16" t="n">
        <v>59</v>
      </c>
      <c r="E60" s="16" t="n">
        <v>67</v>
      </c>
      <c r="F60" s="16" t="inlineStr">
        <is>
          <t>4600</t>
        </is>
      </c>
      <c r="G60" s="17" t="n">
        <v>46294</v>
      </c>
      <c r="H60" s="16" t="inlineStr">
        <is>
          <t>14:02</t>
        </is>
      </c>
      <c r="J60" s="16" t="inlineStr">
        <is>
          <t>A</t>
        </is>
      </c>
      <c r="K60" s="16" t="inlineStr">
        <is>
          <t>1</t>
        </is>
      </c>
      <c r="L60" s="16" t="inlineStr">
        <is>
          <t>Encuestador A</t>
        </is>
      </c>
      <c r="M60" s="16" t="inlineStr">
        <is>
          <t>Puesto 1</t>
        </is>
      </c>
      <c r="N60" s="16" t="inlineStr">
        <is>
          <t>Sí</t>
        </is>
      </c>
      <c r="O60" s="16" t="inlineStr">
        <is>
          <t>Sí</t>
        </is>
      </c>
      <c r="P60" s="16" t="n">
        <v>39</v>
      </c>
      <c r="Q60" s="16" t="inlineStr">
        <is>
          <t>Sí</t>
        </is>
      </c>
      <c r="R60" s="16" t="inlineStr">
        <is>
          <t>Sí</t>
        </is>
      </c>
      <c r="S60" s="16" t="inlineStr">
        <is>
          <t>No</t>
        </is>
      </c>
      <c r="T60" s="16" t="inlineStr">
        <is>
          <t>finalizado</t>
        </is>
      </c>
      <c r="U60" s="16" t="inlineStr">
        <is>
          <t>2026-10-v2</t>
        </is>
      </c>
      <c r="V60" s="16" t="inlineStr">
        <is>
          <t>2026-09-29T15:00:00.000Z</t>
        </is>
      </c>
      <c r="W60" s="16" t="inlineStr">
        <is>
          <t>Argentina</t>
        </is>
      </c>
      <c r="Y60" s="16" t="inlineStr">
        <is>
          <t>Secundaria completa</t>
        </is>
      </c>
      <c r="Z60" s="16" t="inlineStr">
        <is>
          <t>No</t>
        </is>
      </c>
      <c r="AA60" s="16" t="inlineStr">
        <is>
          <t>5</t>
        </is>
      </c>
      <c r="AB60" s="16" t="inlineStr">
        <is>
          <t>3</t>
        </is>
      </c>
      <c r="AC60" s="16" t="inlineStr">
        <is>
          <t>Inglés</t>
        </is>
      </c>
      <c r="AE60" s="16" t="inlineStr">
        <is>
          <t>Español</t>
        </is>
      </c>
      <c r="AG60" s="16" t="inlineStr">
        <is>
          <t>Argentina</t>
        </is>
      </c>
      <c r="AI60" s="16" t="inlineStr">
        <is>
          <t>Regular</t>
        </is>
      </c>
      <c r="AJ60" s="16" t="n">
        <v>25</v>
      </c>
      <c r="AK60" s="16" t="inlineStr">
        <is>
          <t>Viaje interprovincial</t>
        </is>
      </c>
      <c r="AL60" s="16" t="inlineStr">
        <is>
          <t>Una vez al mes</t>
        </is>
      </c>
      <c r="AN60" s="16" t="inlineStr">
        <is>
          <t>Una vez a la semana</t>
        </is>
      </c>
      <c r="AP60" s="16" t="inlineStr">
        <is>
          <t>Dueño del camión</t>
        </is>
      </c>
      <c r="AR60" s="16" t="inlineStr">
        <is>
          <t>Disconforme</t>
        </is>
      </c>
      <c r="AS60" s="16" t="inlineStr">
        <is>
          <t>No</t>
        </is>
      </c>
      <c r="AT60" s="16" t="n">
        <v>7</v>
      </c>
      <c r="AU60" s="16" t="inlineStr">
        <is>
          <t>Sí</t>
        </is>
      </c>
      <c r="AV60" s="16" t="inlineStr">
        <is>
          <t>Estaciones de servicio</t>
        </is>
      </c>
      <c r="AX60" s="16" t="n">
        <v>5.3</v>
      </c>
      <c r="AY60" s="16" t="inlineStr">
        <is>
          <t>Nunca</t>
        </is>
      </c>
      <c r="AZ60" s="16" t="inlineStr">
        <is>
          <t>Café</t>
        </is>
      </c>
      <c r="BB60" s="16" t="inlineStr">
        <is>
          <t>Nunca</t>
        </is>
      </c>
      <c r="BC60" s="16" t="inlineStr">
        <is>
          <t>No</t>
        </is>
      </c>
      <c r="BD60" s="16" t="inlineStr">
        <is>
          <t>No</t>
        </is>
      </c>
      <c r="BE60" s="16" t="inlineStr">
        <is>
          <t>Parcialmente</t>
        </is>
      </c>
      <c r="BF60" s="16" t="inlineStr">
        <is>
          <t>Obra social</t>
        </is>
      </c>
      <c r="BG60" s="16" t="inlineStr">
        <is>
          <t>Ninguno</t>
        </is>
      </c>
      <c r="BH60" s="16" t="inlineStr">
        <is>
          <t>Nunca</t>
        </is>
      </c>
      <c r="BI60" s="16" t="inlineStr">
        <is>
          <t>Sistema público</t>
        </is>
      </c>
      <c r="BJ60" s="16" t="inlineStr">
        <is>
          <t>Sí</t>
        </is>
      </c>
      <c r="BK60" s="16" t="inlineStr">
        <is>
          <t>Lumbar</t>
        </is>
      </c>
      <c r="BL60" s="16" t="inlineStr">
        <is>
          <t>Medicamentos; Hierbas</t>
        </is>
      </c>
      <c r="BM60" s="16" t="inlineStr">
        <is>
          <t>Ibuprofeno</t>
        </is>
      </c>
      <c r="BN60" s="16" t="inlineStr">
        <is>
          <t>No tengo diagnóstico de enfermedad</t>
        </is>
      </c>
      <c r="BP60" s="16" t="inlineStr">
        <is>
          <t>Nunca</t>
        </is>
      </c>
      <c r="BQ60" s="16" t="inlineStr">
        <is>
          <t>No</t>
        </is>
      </c>
      <c r="BS60" s="16" t="inlineStr">
        <is>
          <t>No</t>
        </is>
      </c>
      <c r="BT60" s="16" t="inlineStr">
        <is>
          <t>Sí</t>
        </is>
      </c>
      <c r="BU60" s="16" t="inlineStr">
        <is>
          <t>A veces</t>
        </is>
      </c>
      <c r="BV60" s="16" t="inlineStr">
        <is>
          <t>Sí</t>
        </is>
      </c>
      <c r="BW60" s="16" t="inlineStr">
        <is>
          <t>No</t>
        </is>
      </c>
      <c r="BX60" s="16" t="inlineStr">
        <is>
          <t>Varón</t>
        </is>
      </c>
      <c r="BY60" s="16" t="n">
        <v>104.4</v>
      </c>
      <c r="BZ60" s="16" t="n">
        <v>1.76</v>
      </c>
      <c r="CA60" s="16" t="n">
        <v>33.7</v>
      </c>
      <c r="CB60" s="16" t="n">
        <v>102</v>
      </c>
      <c r="CC60" s="16" t="n">
        <v>111</v>
      </c>
      <c r="CD60" s="16" t="n">
        <v>71</v>
      </c>
      <c r="CE60" s="16" t="inlineStr">
        <is>
          <t>No</t>
        </is>
      </c>
      <c r="CF60" s="16" t="inlineStr">
        <is>
          <t>Sí</t>
        </is>
      </c>
      <c r="CG60" s="16" t="inlineStr">
        <is>
          <t>Sí</t>
        </is>
      </c>
      <c r="CH60" s="16" t="inlineStr">
        <is>
          <t>No</t>
        </is>
      </c>
      <c r="CI60" s="16" t="inlineStr">
        <is>
          <t>No</t>
        </is>
      </c>
      <c r="CJ60" s="16" t="inlineStr">
        <is>
          <t>No</t>
        </is>
      </c>
      <c r="CK60" s="16" t="inlineStr">
        <is>
          <t>Sí</t>
        </is>
      </c>
      <c r="CL60" s="16" t="inlineStr">
        <is>
          <t>No</t>
        </is>
      </c>
      <c r="CR60" s="16" t="inlineStr">
        <is>
          <t>Sí</t>
        </is>
      </c>
      <c r="CS60" s="16" t="n">
        <v>12</v>
      </c>
      <c r="CT60" s="16" t="inlineStr">
        <is>
          <t>Moderado</t>
        </is>
      </c>
      <c r="CU60" s="16" t="inlineStr">
        <is>
          <t>17 %</t>
        </is>
      </c>
      <c r="CV60" s="16" t="inlineStr">
        <is>
          <t>Sí</t>
        </is>
      </c>
      <c r="CW60" s="16" t="n">
        <v>14</v>
      </c>
      <c r="CX60" s="16" t="inlineStr">
        <is>
          <t>16</t>
        </is>
      </c>
      <c r="CY60" s="16" t="inlineStr">
        <is>
          <t>Moderado</t>
        </is>
      </c>
    </row>
    <row r="61">
      <c r="A61" s="16" t="inlineStr">
        <is>
          <t>demo-60</t>
        </is>
      </c>
      <c r="B61" s="16" t="inlineStr">
        <is>
          <t>C1-0060</t>
        </is>
      </c>
      <c r="C61" s="16" t="inlineStr">
        <is>
          <t>459-42-4600</t>
        </is>
      </c>
      <c r="D61" s="16" t="n">
        <v>459</v>
      </c>
      <c r="E61" s="16" t="n">
        <v>42</v>
      </c>
      <c r="F61" s="16" t="inlineStr">
        <is>
          <t>4600</t>
        </is>
      </c>
      <c r="G61" s="17" t="n">
        <v>46295</v>
      </c>
      <c r="H61" s="16" t="inlineStr">
        <is>
          <t>15:01</t>
        </is>
      </c>
      <c r="J61" s="16" t="inlineStr">
        <is>
          <t>C</t>
        </is>
      </c>
      <c r="K61" s="16" t="inlineStr">
        <is>
          <t>1</t>
        </is>
      </c>
      <c r="L61" s="16" t="inlineStr">
        <is>
          <t>Encuestador C</t>
        </is>
      </c>
      <c r="M61" s="16" t="inlineStr">
        <is>
          <t>Puesto 2</t>
        </is>
      </c>
      <c r="N61" s="16" t="inlineStr">
        <is>
          <t>Sí</t>
        </is>
      </c>
      <c r="O61" s="16" t="inlineStr">
        <is>
          <t>No</t>
        </is>
      </c>
      <c r="P61" s="16" t="n">
        <v>39</v>
      </c>
      <c r="Q61" s="16" t="inlineStr">
        <is>
          <t>Sí</t>
        </is>
      </c>
      <c r="R61" s="16" t="inlineStr">
        <is>
          <t>Sí</t>
        </is>
      </c>
      <c r="S61" s="16" t="inlineStr">
        <is>
          <t>Sí</t>
        </is>
      </c>
      <c r="T61" s="16" t="inlineStr">
        <is>
          <t>finalizado</t>
        </is>
      </c>
      <c r="U61" s="16" t="inlineStr">
        <is>
          <t>2026-10-v2</t>
        </is>
      </c>
      <c r="V61" s="16" t="inlineStr">
        <is>
          <t>2026-09-30T15:00:00.000Z</t>
        </is>
      </c>
      <c r="W61" s="16" t="inlineStr">
        <is>
          <t>Brasil</t>
        </is>
      </c>
      <c r="Y61" s="16" t="inlineStr">
        <is>
          <t>Universitario incompleto</t>
        </is>
      </c>
      <c r="Z61" s="16" t="inlineStr">
        <is>
          <t>Sí</t>
        </is>
      </c>
      <c r="AA61" s="16" t="inlineStr">
        <is>
          <t>2</t>
        </is>
      </c>
      <c r="AB61" s="16" t="inlineStr">
        <is>
          <t>1</t>
        </is>
      </c>
      <c r="AC61" s="16" t="inlineStr">
        <is>
          <t>Inglés; Guaraní</t>
        </is>
      </c>
      <c r="AE61" s="16" t="inlineStr">
        <is>
          <t>Español</t>
        </is>
      </c>
      <c r="AG61" s="16" t="inlineStr">
        <is>
          <t>Argentina</t>
        </is>
      </c>
      <c r="AI61" s="16" t="inlineStr">
        <is>
          <t>Malo</t>
        </is>
      </c>
      <c r="AJ61" s="16" t="n">
        <v>5</v>
      </c>
      <c r="AK61" s="16" t="inlineStr">
        <is>
          <t>Viaje provincial (Jujuy)</t>
        </is>
      </c>
      <c r="AL61" s="16" t="inlineStr">
        <is>
          <t>Quincenalmente</t>
        </is>
      </c>
      <c r="AN61" s="16" t="inlineStr">
        <is>
          <t>Una vez a la semana</t>
        </is>
      </c>
      <c r="AP61" s="16" t="inlineStr">
        <is>
          <t>Empleado</t>
        </is>
      </c>
      <c r="AR61" s="16" t="inlineStr">
        <is>
          <t>Conforme</t>
        </is>
      </c>
      <c r="AS61" s="16" t="inlineStr">
        <is>
          <t>Sí</t>
        </is>
      </c>
      <c r="AT61" s="16" t="n">
        <v>3</v>
      </c>
      <c r="AU61" s="16" t="inlineStr">
        <is>
          <t>No</t>
        </is>
      </c>
      <c r="AV61" s="16" t="inlineStr">
        <is>
          <t>Paradores</t>
        </is>
      </c>
      <c r="AX61" s="16" t="n">
        <v>7.2</v>
      </c>
      <c r="AY61" s="16" t="inlineStr">
        <is>
          <t>Casi nunca</t>
        </is>
      </c>
      <c r="AZ61" s="16" t="inlineStr">
        <is>
          <t>Gaseosas</t>
        </is>
      </c>
      <c r="BB61" s="16" t="inlineStr">
        <is>
          <t>A veces</t>
        </is>
      </c>
      <c r="BC61" s="16" t="inlineStr">
        <is>
          <t>Sí</t>
        </is>
      </c>
      <c r="BD61" s="16" t="inlineStr">
        <is>
          <t>No</t>
        </is>
      </c>
      <c r="BE61" s="16" t="inlineStr">
        <is>
          <t>Parcialmente</t>
        </is>
      </c>
      <c r="BF61" s="16" t="inlineStr">
        <is>
          <t>Ninguna</t>
        </is>
      </c>
      <c r="BG61" s="16" t="inlineStr">
        <is>
          <t>Sistema privado</t>
        </is>
      </c>
      <c r="BH61" s="16" t="inlineStr">
        <is>
          <t>Nunca</t>
        </is>
      </c>
      <c r="BI61" s="16" t="inlineStr">
        <is>
          <t>Sistema privado</t>
        </is>
      </c>
      <c r="BJ61" s="16" t="inlineStr">
        <is>
          <t>Sí</t>
        </is>
      </c>
      <c r="BK61" s="16" t="inlineStr">
        <is>
          <t>Rodillas</t>
        </is>
      </c>
      <c r="BL61" s="16" t="inlineStr">
        <is>
          <t>Medicamentos; Hierbas</t>
        </is>
      </c>
      <c r="BM61" s="16" t="inlineStr">
        <is>
          <t>Ibuprofeno</t>
        </is>
      </c>
      <c r="BN61" s="16" t="inlineStr">
        <is>
          <t>Musculoesqueléticos; Digestivas</t>
        </is>
      </c>
      <c r="BP61" s="16" t="inlineStr">
        <is>
          <t>Rara vez</t>
        </is>
      </c>
      <c r="BQ61" s="16" t="inlineStr">
        <is>
          <t>Café; Coca-Cola</t>
        </is>
      </c>
      <c r="BS61" s="16" t="inlineStr">
        <is>
          <t>No</t>
        </is>
      </c>
      <c r="BT61" s="16" t="inlineStr">
        <is>
          <t>No</t>
        </is>
      </c>
      <c r="BU61" s="16" t="inlineStr">
        <is>
          <t>A veces</t>
        </is>
      </c>
      <c r="BV61" s="16" t="inlineStr">
        <is>
          <t>No</t>
        </is>
      </c>
      <c r="BW61" s="16" t="inlineStr">
        <is>
          <t>No</t>
        </is>
      </c>
      <c r="BX61" s="16" t="inlineStr">
        <is>
          <t>Varón</t>
        </is>
      </c>
      <c r="BY61" s="16" t="n">
        <v>112.2</v>
      </c>
      <c r="BZ61" s="16" t="n">
        <v>1.78</v>
      </c>
      <c r="CA61" s="16" t="n">
        <v>35.4</v>
      </c>
      <c r="CB61" s="16" t="n">
        <v>103</v>
      </c>
      <c r="CC61" s="16" t="n">
        <v>166</v>
      </c>
      <c r="CD61" s="16" t="n">
        <v>105</v>
      </c>
      <c r="CE61" s="16" t="inlineStr">
        <is>
          <t>No</t>
        </is>
      </c>
      <c r="CF61" s="16" t="inlineStr">
        <is>
          <t>Sí</t>
        </is>
      </c>
      <c r="CG61" s="16" t="inlineStr">
        <is>
          <t>No</t>
        </is>
      </c>
      <c r="CH61" s="16" t="inlineStr">
        <is>
          <t>No</t>
        </is>
      </c>
      <c r="CI61" s="16" t="inlineStr">
        <is>
          <t>No</t>
        </is>
      </c>
      <c r="CJ61" s="16" t="inlineStr">
        <is>
          <t>No</t>
        </is>
      </c>
      <c r="CK61" s="16" t="inlineStr">
        <is>
          <t>Sí</t>
        </is>
      </c>
      <c r="CL61" s="16" t="inlineStr">
        <is>
          <t>Sí</t>
        </is>
      </c>
      <c r="CM61" s="16" t="inlineStr">
        <is>
          <t>07:40</t>
        </is>
      </c>
      <c r="CN61" s="16" t="inlineStr">
        <is>
          <t>Mate</t>
        </is>
      </c>
      <c r="CO61" s="16" t="inlineStr">
        <is>
          <t>13:30</t>
        </is>
      </c>
      <c r="CP61" s="16" t="n">
        <v>158</v>
      </c>
      <c r="CQ61" s="16" t="n">
        <v>350</v>
      </c>
      <c r="CR61" s="16" t="inlineStr">
        <is>
          <t>Sí</t>
        </is>
      </c>
      <c r="CS61" s="16" t="n">
        <v>9</v>
      </c>
      <c r="CT61" s="16" t="inlineStr">
        <is>
          <t>Ligeramente elevado</t>
        </is>
      </c>
      <c r="CU61" s="16" t="inlineStr">
        <is>
          <t>4 %</t>
        </is>
      </c>
      <c r="CV61" s="16" t="inlineStr">
        <is>
          <t>Sí</t>
        </is>
      </c>
      <c r="CW61" s="16" t="n">
        <v>9</v>
      </c>
      <c r="CX61" s="16" t="inlineStr">
        <is>
          <t>5</t>
        </is>
      </c>
      <c r="CY61" s="16" t="inlineStr">
        <is>
          <t>Bajo</t>
        </is>
      </c>
    </row>
    <row r="62">
      <c r="A62" s="16" t="inlineStr">
        <is>
          <t>demo-61</t>
        </is>
      </c>
      <c r="B62" s="16" t="inlineStr">
        <is>
          <t>C1-0061</t>
        </is>
      </c>
      <c r="C62" s="16" t="inlineStr">
        <is>
          <t>460-34-4630</t>
        </is>
      </c>
      <c r="D62" s="16" t="n">
        <v>460</v>
      </c>
      <c r="E62" s="16" t="n">
        <v>34</v>
      </c>
      <c r="F62" s="16" t="inlineStr">
        <is>
          <t>4630</t>
        </is>
      </c>
      <c r="G62" s="17" t="n">
        <v>46296</v>
      </c>
      <c r="H62" s="16" t="inlineStr">
        <is>
          <t>15:01</t>
        </is>
      </c>
      <c r="J62" s="16" t="inlineStr">
        <is>
          <t>C</t>
        </is>
      </c>
      <c r="K62" s="16" t="inlineStr">
        <is>
          <t>1</t>
        </is>
      </c>
      <c r="L62" s="16" t="inlineStr">
        <is>
          <t>Encuestador C</t>
        </is>
      </c>
      <c r="M62" s="16" t="inlineStr">
        <is>
          <t>Puesto 1</t>
        </is>
      </c>
      <c r="N62" s="16" t="inlineStr">
        <is>
          <t>Sí</t>
        </is>
      </c>
      <c r="O62" s="16" t="inlineStr">
        <is>
          <t>No</t>
        </is>
      </c>
      <c r="P62" s="16" t="n">
        <v>39</v>
      </c>
      <c r="Q62" s="16" t="inlineStr">
        <is>
          <t>Sí</t>
        </is>
      </c>
      <c r="R62" s="16" t="inlineStr">
        <is>
          <t>Sí</t>
        </is>
      </c>
      <c r="S62" s="16" t="inlineStr">
        <is>
          <t>Sí</t>
        </is>
      </c>
      <c r="T62" s="16" t="inlineStr">
        <is>
          <t>finalizado</t>
        </is>
      </c>
      <c r="U62" s="16" t="inlineStr">
        <is>
          <t>2026-10-v2</t>
        </is>
      </c>
      <c r="V62" s="16" t="inlineStr">
        <is>
          <t>2026-10-01T15:00:00.000Z</t>
        </is>
      </c>
      <c r="W62" s="16" t="inlineStr">
        <is>
          <t>Argentina</t>
        </is>
      </c>
      <c r="Y62" s="16" t="inlineStr">
        <is>
          <t>Terciario completo</t>
        </is>
      </c>
      <c r="Z62" s="16" t="inlineStr">
        <is>
          <t>No</t>
        </is>
      </c>
      <c r="AA62" s="16" t="inlineStr">
        <is>
          <t>2</t>
        </is>
      </c>
      <c r="AB62" s="16" t="inlineStr">
        <is>
          <t>1</t>
        </is>
      </c>
      <c r="AC62" s="16" t="inlineStr">
        <is>
          <t>Español</t>
        </is>
      </c>
      <c r="AE62" s="16" t="inlineStr">
        <is>
          <t>Español</t>
        </is>
      </c>
      <c r="AG62" s="16" t="inlineStr">
        <is>
          <t>Argentina</t>
        </is>
      </c>
      <c r="AI62" s="16" t="inlineStr">
        <is>
          <t>Regular</t>
        </is>
      </c>
      <c r="AJ62" s="16" t="n">
        <v>7</v>
      </c>
      <c r="AK62" s="16" t="inlineStr">
        <is>
          <t>Viaje provincial (Jujuy)</t>
        </is>
      </c>
      <c r="AL62" s="16" t="inlineStr">
        <is>
          <t>Quincenalmente</t>
        </is>
      </c>
      <c r="AN62" s="16" t="inlineStr">
        <is>
          <t>Una vez a la semana</t>
        </is>
      </c>
      <c r="AP62" s="16" t="inlineStr">
        <is>
          <t>Dueño del camión</t>
        </is>
      </c>
      <c r="AR62" s="16" t="inlineStr">
        <is>
          <t>Conforme</t>
        </is>
      </c>
      <c r="AS62" s="16" t="inlineStr">
        <is>
          <t>No</t>
        </is>
      </c>
      <c r="AT62" s="16" t="n">
        <v>5</v>
      </c>
      <c r="AU62" s="16" t="inlineStr">
        <is>
          <t>Sí</t>
        </is>
      </c>
      <c r="AV62" s="16" t="inlineStr">
        <is>
          <t>En el camión al costado de la ruta</t>
        </is>
      </c>
      <c r="AX62" s="16" t="n">
        <v>5.6</v>
      </c>
      <c r="AY62" s="16" t="inlineStr">
        <is>
          <t>Todos los días</t>
        </is>
      </c>
      <c r="AZ62" s="16" t="inlineStr">
        <is>
          <t>Jugos artificiales; Café</t>
        </is>
      </c>
      <c r="BB62" s="16" t="inlineStr">
        <is>
          <t>Casi nunca</t>
        </is>
      </c>
      <c r="BC62" s="16" t="inlineStr">
        <is>
          <t>Sí</t>
        </is>
      </c>
      <c r="BD62" s="16" t="inlineStr">
        <is>
          <t>No</t>
        </is>
      </c>
      <c r="BE62" s="16" t="inlineStr">
        <is>
          <t>Sí</t>
        </is>
      </c>
      <c r="BF62" s="16" t="inlineStr">
        <is>
          <t>Ninguna</t>
        </is>
      </c>
      <c r="BG62" s="16" t="inlineStr">
        <is>
          <t>Sistema privado</t>
        </is>
      </c>
      <c r="BH62" s="16" t="inlineStr">
        <is>
          <t>Solo cuando me siento mal</t>
        </is>
      </c>
      <c r="BI62" s="16" t="inlineStr">
        <is>
          <t>Sistema público; Otros (medicina tradicional, alternativa, etc.)</t>
        </is>
      </c>
      <c r="BJ62" s="16" t="inlineStr">
        <is>
          <t>No</t>
        </is>
      </c>
      <c r="BL62" s="16" t="inlineStr">
        <is>
          <t>Medicamentos; Hierbas</t>
        </is>
      </c>
      <c r="BM62" s="16" t="inlineStr">
        <is>
          <t>Ibuprofeno</t>
        </is>
      </c>
      <c r="BN62" s="16" t="inlineStr">
        <is>
          <t>Musculoesqueléticos</t>
        </is>
      </c>
      <c r="BP62" s="16" t="inlineStr">
        <is>
          <t>Una vez a la semana</t>
        </is>
      </c>
      <c r="BQ62" s="16" t="inlineStr">
        <is>
          <t>Café</t>
        </is>
      </c>
      <c r="BS62" s="16" t="inlineStr">
        <is>
          <t>No</t>
        </is>
      </c>
      <c r="BT62" s="16" t="inlineStr">
        <is>
          <t>No</t>
        </is>
      </c>
      <c r="BU62" s="16" t="inlineStr">
        <is>
          <t>Nunca</t>
        </is>
      </c>
      <c r="BV62" s="16" t="inlineStr">
        <is>
          <t>Sí</t>
        </is>
      </c>
      <c r="BW62" s="16" t="inlineStr">
        <is>
          <t>No</t>
        </is>
      </c>
      <c r="BX62" s="16" t="inlineStr">
        <is>
          <t>Varón</t>
        </is>
      </c>
      <c r="BY62" s="16" t="n">
        <v>90.59999999999999</v>
      </c>
      <c r="BZ62" s="16" t="n">
        <v>1.64</v>
      </c>
      <c r="CA62" s="16" t="n">
        <v>33.7</v>
      </c>
      <c r="CB62" s="16" t="n">
        <v>98</v>
      </c>
      <c r="CC62" s="16" t="n">
        <v>150</v>
      </c>
      <c r="CD62" s="16" t="n">
        <v>95</v>
      </c>
      <c r="CE62" s="16" t="inlineStr">
        <is>
          <t>No</t>
        </is>
      </c>
      <c r="CF62" s="16" t="inlineStr">
        <is>
          <t>No</t>
        </is>
      </c>
      <c r="CG62" s="16" t="inlineStr">
        <is>
          <t>Sí</t>
        </is>
      </c>
      <c r="CH62" s="16" t="inlineStr">
        <is>
          <t>No</t>
        </is>
      </c>
      <c r="CI62" s="16" t="inlineStr">
        <is>
          <t>No</t>
        </is>
      </c>
      <c r="CJ62" s="16" t="inlineStr">
        <is>
          <t>Sí, parientes lejanos</t>
        </is>
      </c>
      <c r="CK62" s="16" t="inlineStr">
        <is>
          <t>Sí</t>
        </is>
      </c>
      <c r="CL62" s="16" t="inlineStr">
        <is>
          <t>Sí</t>
        </is>
      </c>
      <c r="CM62" s="16" t="inlineStr">
        <is>
          <t>07:25</t>
        </is>
      </c>
      <c r="CN62" s="16" t="inlineStr">
        <is>
          <t>Mate</t>
        </is>
      </c>
      <c r="CO62" s="16" t="inlineStr">
        <is>
          <t>14:30</t>
        </is>
      </c>
      <c r="CP62" s="16" t="n">
        <v>133</v>
      </c>
      <c r="CQ62" s="16" t="n">
        <v>425</v>
      </c>
      <c r="CR62" s="16" t="inlineStr">
        <is>
          <t>Sí</t>
        </is>
      </c>
      <c r="CS62" s="16" t="n">
        <v>12</v>
      </c>
      <c r="CT62" s="16" t="inlineStr">
        <is>
          <t>Moderado</t>
        </is>
      </c>
      <c r="CU62" s="16" t="inlineStr">
        <is>
          <t>17 %</t>
        </is>
      </c>
      <c r="CV62" s="16" t="inlineStr">
        <is>
          <t>Sí</t>
        </is>
      </c>
      <c r="CW62" s="16" t="n">
        <v>3</v>
      </c>
      <c r="CX62" s="16" t="inlineStr">
        <is>
          <t>1</t>
        </is>
      </c>
      <c r="CY62" s="16" t="inlineStr">
        <is>
          <t>Bajo</t>
        </is>
      </c>
    </row>
    <row r="63">
      <c r="A63" s="16" t="inlineStr">
        <is>
          <t>demo-62</t>
        </is>
      </c>
      <c r="B63" s="16" t="inlineStr">
        <is>
          <t>A1-0062</t>
        </is>
      </c>
      <c r="C63" s="16" t="inlineStr">
        <is>
          <t>062-52-4600</t>
        </is>
      </c>
      <c r="D63" s="16" t="n">
        <v>62</v>
      </c>
      <c r="E63" s="16" t="n">
        <v>52</v>
      </c>
      <c r="F63" s="16" t="inlineStr">
        <is>
          <t>4600</t>
        </is>
      </c>
      <c r="G63" s="17" t="n">
        <v>46294</v>
      </c>
      <c r="H63" s="16" t="inlineStr">
        <is>
          <t>13:01</t>
        </is>
      </c>
      <c r="J63" s="16" t="inlineStr">
        <is>
          <t>A</t>
        </is>
      </c>
      <c r="K63" s="16" t="inlineStr">
        <is>
          <t>1</t>
        </is>
      </c>
      <c r="L63" s="16" t="inlineStr">
        <is>
          <t>Encuestador A</t>
        </is>
      </c>
      <c r="M63" s="16" t="inlineStr">
        <is>
          <t>Puesto 1</t>
        </is>
      </c>
      <c r="N63" s="16" t="inlineStr">
        <is>
          <t>Sí</t>
        </is>
      </c>
      <c r="O63" s="16" t="inlineStr">
        <is>
          <t>Sí</t>
        </is>
      </c>
      <c r="P63" s="16" t="n">
        <v>38</v>
      </c>
      <c r="Q63" s="16" t="inlineStr">
        <is>
          <t>Sí</t>
        </is>
      </c>
      <c r="R63" s="16" t="inlineStr">
        <is>
          <t>Sí</t>
        </is>
      </c>
      <c r="S63" s="16" t="inlineStr">
        <is>
          <t>Sí</t>
        </is>
      </c>
      <c r="T63" s="16" t="inlineStr">
        <is>
          <t>finalizado</t>
        </is>
      </c>
      <c r="U63" s="16" t="inlineStr">
        <is>
          <t>2026-10-v2</t>
        </is>
      </c>
      <c r="V63" s="16" t="inlineStr">
        <is>
          <t>2026-09-29T15:00:00.000Z</t>
        </is>
      </c>
      <c r="W63" s="16" t="inlineStr">
        <is>
          <t>Paraguay</t>
        </is>
      </c>
      <c r="Y63" s="16" t="inlineStr">
        <is>
          <t>Secundaria completa</t>
        </is>
      </c>
      <c r="Z63" s="16" t="inlineStr">
        <is>
          <t>Sí</t>
        </is>
      </c>
      <c r="AA63" s="16" t="inlineStr">
        <is>
          <t>4</t>
        </is>
      </c>
      <c r="AB63" s="16" t="inlineStr">
        <is>
          <t>5</t>
        </is>
      </c>
      <c r="AC63" s="16" t="inlineStr">
        <is>
          <t>Español; Portugués</t>
        </is>
      </c>
      <c r="AE63" s="16" t="inlineStr">
        <is>
          <t>Español</t>
        </is>
      </c>
      <c r="AG63" s="16" t="inlineStr">
        <is>
          <t>Argentina</t>
        </is>
      </c>
      <c r="AI63" s="16" t="inlineStr">
        <is>
          <t>Regular</t>
        </is>
      </c>
      <c r="AJ63" s="16" t="n">
        <v>19</v>
      </c>
      <c r="AK63" s="16" t="inlineStr">
        <is>
          <t>Viaje interprovincial</t>
        </is>
      </c>
      <c r="AL63" s="16" t="inlineStr">
        <is>
          <t>Una vez a la semana</t>
        </is>
      </c>
      <c r="AN63" s="16" t="inlineStr">
        <is>
          <t>Diariamente</t>
        </is>
      </c>
      <c r="AP63" s="16" t="inlineStr">
        <is>
          <t>Empleado</t>
        </is>
      </c>
      <c r="AR63" s="16" t="inlineStr">
        <is>
          <t>Disconforme</t>
        </is>
      </c>
      <c r="AS63" s="16" t="inlineStr">
        <is>
          <t>Sí</t>
        </is>
      </c>
      <c r="AT63" s="16" t="n">
        <v>8.9</v>
      </c>
      <c r="AU63" s="16" t="inlineStr">
        <is>
          <t>No</t>
        </is>
      </c>
      <c r="AV63" s="16" t="inlineStr">
        <is>
          <t>En el camión al costado de la ruta</t>
        </is>
      </c>
      <c r="AX63" s="16" t="n">
        <v>7.3</v>
      </c>
      <c r="AY63" s="16" t="inlineStr">
        <is>
          <t>Todos los días</t>
        </is>
      </c>
      <c r="AZ63" s="16" t="inlineStr">
        <is>
          <t>Jugos artificiales; Gaseosas</t>
        </is>
      </c>
      <c r="BB63" s="16" t="inlineStr">
        <is>
          <t>Casi nunca</t>
        </is>
      </c>
      <c r="BC63" s="16" t="inlineStr">
        <is>
          <t>Algunas veces</t>
        </is>
      </c>
      <c r="BD63" s="16" t="inlineStr">
        <is>
          <t>No</t>
        </is>
      </c>
      <c r="BE63" s="16" t="inlineStr">
        <is>
          <t>No</t>
        </is>
      </c>
      <c r="BF63" s="16" t="inlineStr">
        <is>
          <t>Obra social</t>
        </is>
      </c>
      <c r="BG63" s="16" t="inlineStr">
        <is>
          <t>Ninguno</t>
        </is>
      </c>
      <c r="BH63" s="16" t="inlineStr">
        <is>
          <t>2 veces al año</t>
        </is>
      </c>
      <c r="BI63" s="16" t="inlineStr">
        <is>
          <t>Sistema privado</t>
        </is>
      </c>
      <c r="BJ63" s="16" t="inlineStr">
        <is>
          <t>Sí</t>
        </is>
      </c>
      <c r="BK63" s="16" t="inlineStr">
        <is>
          <t>Rodillas</t>
        </is>
      </c>
      <c r="BL63" s="16" t="inlineStr">
        <is>
          <t>Ninguno</t>
        </is>
      </c>
      <c r="BN63" s="16" t="inlineStr">
        <is>
          <t>Obesidad</t>
        </is>
      </c>
      <c r="BP63" s="16" t="inlineStr">
        <is>
          <t>2 a 3 veces por semana</t>
        </is>
      </c>
      <c r="BQ63" s="16" t="inlineStr">
        <is>
          <t>Energizantes (Speed, Monster, Red Bull, etc.)</t>
        </is>
      </c>
      <c r="BS63" s="16" t="inlineStr">
        <is>
          <t>Sí</t>
        </is>
      </c>
      <c r="BT63" s="16" t="inlineStr">
        <is>
          <t>No</t>
        </is>
      </c>
      <c r="BU63" s="16" t="inlineStr">
        <is>
          <t>Siempre</t>
        </is>
      </c>
      <c r="BV63" s="16" t="inlineStr">
        <is>
          <t>Sí</t>
        </is>
      </c>
      <c r="BW63" s="16" t="inlineStr">
        <is>
          <t>No</t>
        </is>
      </c>
      <c r="BX63" s="16" t="inlineStr">
        <is>
          <t>Varón</t>
        </is>
      </c>
      <c r="BY63" s="16" t="n">
        <v>90.59999999999999</v>
      </c>
      <c r="BZ63" s="16" t="n">
        <v>1.63</v>
      </c>
      <c r="CA63" s="16" t="n">
        <v>34.1</v>
      </c>
      <c r="CB63" s="16" t="n">
        <v>98</v>
      </c>
      <c r="CC63" s="16" t="n">
        <v>141</v>
      </c>
      <c r="CD63" s="16" t="n">
        <v>89</v>
      </c>
      <c r="CE63" s="16" t="inlineStr">
        <is>
          <t>Sí</t>
        </is>
      </c>
      <c r="CF63" s="16" t="inlineStr">
        <is>
          <t>Sí</t>
        </is>
      </c>
      <c r="CG63" s="16" t="inlineStr">
        <is>
          <t>Sí</t>
        </is>
      </c>
      <c r="CH63" s="16" t="inlineStr">
        <is>
          <t>No</t>
        </is>
      </c>
      <c r="CI63" s="16" t="inlineStr">
        <is>
          <t>No</t>
        </is>
      </c>
      <c r="CJ63" s="16" t="inlineStr">
        <is>
          <t>No</t>
        </is>
      </c>
      <c r="CK63" s="16" t="inlineStr">
        <is>
          <t>No</t>
        </is>
      </c>
      <c r="CL63" s="16" t="inlineStr">
        <is>
          <t>Sí</t>
        </is>
      </c>
      <c r="CM63" s="16" t="inlineStr">
        <is>
          <t>07:25</t>
        </is>
      </c>
      <c r="CN63" s="16" t="inlineStr">
        <is>
          <t>Mate</t>
        </is>
      </c>
      <c r="CO63" s="16" t="inlineStr">
        <is>
          <t>12:30</t>
        </is>
      </c>
      <c r="CP63" s="16" t="n">
        <v>164</v>
      </c>
      <c r="CQ63" s="16" t="n">
        <v>305</v>
      </c>
      <c r="CR63" s="16" t="inlineStr">
        <is>
          <t>Sí</t>
        </is>
      </c>
      <c r="CS63" s="16" t="n">
        <v>8</v>
      </c>
      <c r="CT63" s="16" t="inlineStr">
        <is>
          <t>Ligeramente elevado</t>
        </is>
      </c>
      <c r="CU63" s="16" t="inlineStr">
        <is>
          <t>4 %</t>
        </is>
      </c>
      <c r="CV63" s="16" t="inlineStr">
        <is>
          <t>Sí</t>
        </is>
      </c>
      <c r="CW63" s="16" t="n">
        <v>9</v>
      </c>
      <c r="CX63" s="16" t="inlineStr">
        <is>
          <t>5</t>
        </is>
      </c>
      <c r="CY63" s="16" t="inlineStr">
        <is>
          <t>Bajo</t>
        </is>
      </c>
    </row>
    <row r="64">
      <c r="A64" s="16" t="inlineStr">
        <is>
          <t>demo-63</t>
        </is>
      </c>
      <c r="B64" s="16" t="inlineStr">
        <is>
          <t>B1-0063</t>
        </is>
      </c>
      <c r="C64" s="16" t="inlineStr">
        <is>
          <t>262-55-4600</t>
        </is>
      </c>
      <c r="D64" s="16" t="n">
        <v>262</v>
      </c>
      <c r="E64" s="16" t="n">
        <v>55</v>
      </c>
      <c r="F64" s="16" t="inlineStr">
        <is>
          <t>4600</t>
        </is>
      </c>
      <c r="G64" s="17" t="n">
        <v>46290</v>
      </c>
      <c r="H64" s="16" t="inlineStr">
        <is>
          <t>11:02</t>
        </is>
      </c>
      <c r="J64" s="16" t="inlineStr">
        <is>
          <t>B</t>
        </is>
      </c>
      <c r="K64" s="16" t="inlineStr">
        <is>
          <t>1</t>
        </is>
      </c>
      <c r="L64" s="16" t="inlineStr">
        <is>
          <t>Encuestador B</t>
        </is>
      </c>
      <c r="M64" s="16" t="inlineStr">
        <is>
          <t>Puesto 1</t>
        </is>
      </c>
      <c r="N64" s="16" t="inlineStr">
        <is>
          <t>Sí</t>
        </is>
      </c>
      <c r="O64" s="16" t="inlineStr">
        <is>
          <t>Sí</t>
        </is>
      </c>
      <c r="P64" s="16" t="n">
        <v>39</v>
      </c>
      <c r="Q64" s="16" t="inlineStr">
        <is>
          <t>Sí</t>
        </is>
      </c>
      <c r="R64" s="16" t="inlineStr">
        <is>
          <t>No</t>
        </is>
      </c>
      <c r="S64" s="16" t="inlineStr">
        <is>
          <t>No</t>
        </is>
      </c>
      <c r="T64" s="16" t="inlineStr">
        <is>
          <t>finalizado</t>
        </is>
      </c>
      <c r="U64" s="16" t="inlineStr">
        <is>
          <t>2026-10-v2</t>
        </is>
      </c>
      <c r="V64" s="16" t="inlineStr">
        <is>
          <t>2026-09-25T15:00:00.000Z</t>
        </is>
      </c>
      <c r="W64" s="16" t="inlineStr">
        <is>
          <t>Argentina</t>
        </is>
      </c>
      <c r="Y64" s="16" t="inlineStr">
        <is>
          <t>Terciario completo</t>
        </is>
      </c>
      <c r="Z64" s="16" t="inlineStr">
        <is>
          <t>Sí</t>
        </is>
      </c>
      <c r="AA64" s="16" t="inlineStr">
        <is>
          <t>5</t>
        </is>
      </c>
      <c r="AB64" s="16" t="inlineStr">
        <is>
          <t>3</t>
        </is>
      </c>
      <c r="AC64" s="16" t="inlineStr">
        <is>
          <t>Portugués</t>
        </is>
      </c>
      <c r="AE64" s="16" t="inlineStr">
        <is>
          <t>Español</t>
        </is>
      </c>
      <c r="AG64" s="16" t="inlineStr">
        <is>
          <t>Argentina</t>
        </is>
      </c>
      <c r="AI64" s="16" t="inlineStr">
        <is>
          <t>Muy bueno</t>
        </is>
      </c>
      <c r="AJ64" s="16" t="n">
        <v>12</v>
      </c>
      <c r="AK64" s="16" t="inlineStr">
        <is>
          <t>Viaje internacional</t>
        </is>
      </c>
      <c r="AL64" s="16" t="inlineStr">
        <is>
          <t>Una vez a la semana</t>
        </is>
      </c>
      <c r="AN64" s="16" t="inlineStr">
        <is>
          <t>Una vez a la semana</t>
        </is>
      </c>
      <c r="AP64" s="16" t="inlineStr">
        <is>
          <t>Empleado</t>
        </is>
      </c>
      <c r="AR64" s="16" t="inlineStr">
        <is>
          <t>Disconforme</t>
        </is>
      </c>
      <c r="AS64" s="16" t="inlineStr">
        <is>
          <t>No</t>
        </is>
      </c>
      <c r="AT64" s="16" t="n">
        <v>2.4</v>
      </c>
      <c r="AU64" s="16" t="inlineStr">
        <is>
          <t>Sí</t>
        </is>
      </c>
      <c r="AV64" s="16" t="inlineStr">
        <is>
          <t>Estaciones de servicio; En el camión al costado de la ruta</t>
        </is>
      </c>
      <c r="AX64" s="16" t="n">
        <v>5.7</v>
      </c>
      <c r="AY64" s="16" t="inlineStr">
        <is>
          <t>Todos los días</t>
        </is>
      </c>
      <c r="AZ64" s="16" t="inlineStr">
        <is>
          <t>Jugos artificiales; Mate</t>
        </is>
      </c>
      <c r="BB64" s="16" t="inlineStr">
        <is>
          <t>Casi nunca</t>
        </is>
      </c>
      <c r="BC64" s="16" t="inlineStr">
        <is>
          <t>No</t>
        </is>
      </c>
      <c r="BD64" s="16" t="inlineStr">
        <is>
          <t>No</t>
        </is>
      </c>
      <c r="BE64" s="16" t="inlineStr">
        <is>
          <t>Parcialmente</t>
        </is>
      </c>
      <c r="BF64" s="16" t="inlineStr">
        <is>
          <t>Obra social</t>
        </is>
      </c>
      <c r="BG64" s="16" t="inlineStr">
        <is>
          <t>Sistema privado</t>
        </is>
      </c>
      <c r="BH64" s="16" t="inlineStr">
        <is>
          <t>Solo cuando me siento mal</t>
        </is>
      </c>
      <c r="BI64" s="16" t="inlineStr">
        <is>
          <t>Sistema público</t>
        </is>
      </c>
      <c r="BJ64" s="16" t="inlineStr">
        <is>
          <t>Sí</t>
        </is>
      </c>
      <c r="BK64" s="16" t="inlineStr">
        <is>
          <t>Cervical</t>
        </is>
      </c>
      <c r="BL64" s="16" t="inlineStr">
        <is>
          <t>Medicamentos</t>
        </is>
      </c>
      <c r="BM64" s="16" t="inlineStr">
        <is>
          <t>Ibuprofeno</t>
        </is>
      </c>
      <c r="BN64" s="16" t="inlineStr">
        <is>
          <t>Obesidad</t>
        </is>
      </c>
      <c r="BP64" s="16" t="inlineStr">
        <is>
          <t>Nunca</t>
        </is>
      </c>
      <c r="BQ64" s="16" t="inlineStr">
        <is>
          <t>Yerba mate</t>
        </is>
      </c>
      <c r="BS64" s="16" t="inlineStr">
        <is>
          <t>No</t>
        </is>
      </c>
      <c r="BT64" s="16" t="inlineStr">
        <is>
          <t>No</t>
        </is>
      </c>
      <c r="BU64" s="16" t="inlineStr">
        <is>
          <t>Siempre</t>
        </is>
      </c>
      <c r="BV64" s="16" t="inlineStr">
        <is>
          <t>No</t>
        </is>
      </c>
    </row>
    <row r="65">
      <c r="A65" s="16" t="inlineStr">
        <is>
          <t>demo-64</t>
        </is>
      </c>
      <c r="B65" s="16" t="inlineStr">
        <is>
          <t>A1-0064</t>
        </is>
      </c>
      <c r="C65" s="16" t="inlineStr">
        <is>
          <t>064-65-4400</t>
        </is>
      </c>
      <c r="D65" s="16" t="n">
        <v>64</v>
      </c>
      <c r="E65" s="16" t="n">
        <v>65</v>
      </c>
      <c r="F65" s="16" t="inlineStr">
        <is>
          <t>4400</t>
        </is>
      </c>
      <c r="G65" s="17" t="n">
        <v>46289</v>
      </c>
      <c r="H65" s="16" t="inlineStr">
        <is>
          <t>17:05</t>
        </is>
      </c>
      <c r="J65" s="16" t="inlineStr">
        <is>
          <t>A</t>
        </is>
      </c>
      <c r="K65" s="16" t="inlineStr">
        <is>
          <t>1</t>
        </is>
      </c>
      <c r="L65" s="16" t="inlineStr">
        <is>
          <t>Encuestador A</t>
        </is>
      </c>
      <c r="M65" s="16" t="inlineStr">
        <is>
          <t>Puesto 1</t>
        </is>
      </c>
      <c r="N65" s="16" t="inlineStr">
        <is>
          <t>Sí</t>
        </is>
      </c>
      <c r="O65" s="16" t="inlineStr">
        <is>
          <t>Sí</t>
        </is>
      </c>
      <c r="P65" s="16" t="n">
        <v>38</v>
      </c>
      <c r="Q65" s="16" t="inlineStr">
        <is>
          <t>Sí</t>
        </is>
      </c>
      <c r="R65" s="16" t="inlineStr">
        <is>
          <t>Sí</t>
        </is>
      </c>
      <c r="S65" s="16" t="inlineStr">
        <is>
          <t>Sí</t>
        </is>
      </c>
      <c r="T65" s="16" t="inlineStr">
        <is>
          <t>finalizado</t>
        </is>
      </c>
      <c r="U65" s="16" t="inlineStr">
        <is>
          <t>2026-10-v2</t>
        </is>
      </c>
      <c r="V65" s="16" t="inlineStr">
        <is>
          <t>2026-09-24T15:00:00.000Z</t>
        </is>
      </c>
      <c r="W65" s="16" t="inlineStr">
        <is>
          <t>Argentina</t>
        </is>
      </c>
      <c r="Y65" s="16" t="inlineStr">
        <is>
          <t>Secundaria completa</t>
        </is>
      </c>
      <c r="Z65" s="16" t="inlineStr">
        <is>
          <t>Sí</t>
        </is>
      </c>
      <c r="AA65" s="16" t="inlineStr">
        <is>
          <t>Más de 5</t>
        </is>
      </c>
      <c r="AB65" s="16" t="inlineStr">
        <is>
          <t>Más de 5</t>
        </is>
      </c>
      <c r="AC65" s="16" t="inlineStr">
        <is>
          <t>Portugués</t>
        </is>
      </c>
      <c r="AE65" s="16" t="inlineStr">
        <is>
          <t>Español</t>
        </is>
      </c>
      <c r="AG65" s="16" t="inlineStr">
        <is>
          <t>Argentina</t>
        </is>
      </c>
      <c r="AI65" s="16" t="inlineStr">
        <is>
          <t>Regular</t>
        </is>
      </c>
      <c r="AJ65" s="16" t="n">
        <v>20</v>
      </c>
      <c r="AK65" s="16" t="inlineStr">
        <is>
          <t>Viaje internacional</t>
        </is>
      </c>
      <c r="AL65" s="16" t="inlineStr">
        <is>
          <t>Una vez a la semana</t>
        </is>
      </c>
      <c r="AN65" s="16" t="inlineStr">
        <is>
          <t>Una vez a la semana</t>
        </is>
      </c>
      <c r="AP65" s="16" t="inlineStr">
        <is>
          <t>Empleado</t>
        </is>
      </c>
      <c r="AR65" s="16" t="inlineStr">
        <is>
          <t>Disconforme</t>
        </is>
      </c>
      <c r="AS65" s="16" t="inlineStr">
        <is>
          <t>No</t>
        </is>
      </c>
      <c r="AT65" s="16" t="n">
        <v>4.1</v>
      </c>
      <c r="AU65" s="16" t="inlineStr">
        <is>
          <t>Sí</t>
        </is>
      </c>
      <c r="AV65" s="16" t="inlineStr">
        <is>
          <t>Paradores; En el camión al costado de la ruta</t>
        </is>
      </c>
      <c r="AX65" s="16" t="n">
        <v>6.7</v>
      </c>
      <c r="AY65" s="16" t="inlineStr">
        <is>
          <t>Varias veces por semana</t>
        </is>
      </c>
      <c r="AZ65" s="16" t="inlineStr">
        <is>
          <t>Agua; Mate</t>
        </is>
      </c>
      <c r="BB65" s="16" t="inlineStr">
        <is>
          <t>A veces</t>
        </is>
      </c>
      <c r="BC65" s="16" t="inlineStr">
        <is>
          <t>Algunas veces</t>
        </is>
      </c>
      <c r="BD65" s="16" t="inlineStr">
        <is>
          <t>No</t>
        </is>
      </c>
      <c r="BE65" s="16" t="inlineStr">
        <is>
          <t>No</t>
        </is>
      </c>
      <c r="BF65" s="16" t="inlineStr">
        <is>
          <t>Obra social</t>
        </is>
      </c>
      <c r="BG65" s="16" t="inlineStr">
        <is>
          <t>Ninguno</t>
        </is>
      </c>
      <c r="BH65" s="16" t="inlineStr">
        <is>
          <t>Nunca</t>
        </is>
      </c>
      <c r="BI65" s="16" t="inlineStr">
        <is>
          <t>Sistema público</t>
        </is>
      </c>
      <c r="BJ65" s="16" t="inlineStr">
        <is>
          <t>Sí</t>
        </is>
      </c>
      <c r="BK65" s="16" t="inlineStr">
        <is>
          <t>Rodillas</t>
        </is>
      </c>
      <c r="BL65" s="16" t="inlineStr">
        <is>
          <t>Ninguno</t>
        </is>
      </c>
      <c r="BN65" s="16" t="inlineStr">
        <is>
          <t>Musculoesqueléticos</t>
        </is>
      </c>
      <c r="BP65" s="16" t="inlineStr">
        <is>
          <t>Una vez a la semana</t>
        </is>
      </c>
      <c r="BQ65" s="16" t="inlineStr">
        <is>
          <t>Energizantes (Speed, Monster, Red Bull, etc.)</t>
        </is>
      </c>
      <c r="BS65" s="16" t="inlineStr">
        <is>
          <t>No</t>
        </is>
      </c>
      <c r="BT65" s="16" t="inlineStr">
        <is>
          <t>Sí</t>
        </is>
      </c>
      <c r="BU65" s="16" t="inlineStr">
        <is>
          <t>A veces</t>
        </is>
      </c>
      <c r="BV65" s="16" t="inlineStr">
        <is>
          <t>Sí</t>
        </is>
      </c>
      <c r="BW65" s="16" t="inlineStr">
        <is>
          <t>No</t>
        </is>
      </c>
      <c r="BX65" s="16" t="inlineStr">
        <is>
          <t>Varón</t>
        </is>
      </c>
      <c r="BY65" s="16" t="n">
        <v>68.5</v>
      </c>
      <c r="BZ65" s="16" t="n">
        <v>1.63</v>
      </c>
      <c r="CA65" s="16" t="n">
        <v>25.8</v>
      </c>
      <c r="CB65" s="16" t="n">
        <v>111</v>
      </c>
      <c r="CC65" s="16" t="n">
        <v>146</v>
      </c>
      <c r="CD65" s="16" t="n">
        <v>93</v>
      </c>
      <c r="CE65" s="16" t="inlineStr">
        <is>
          <t>No</t>
        </is>
      </c>
      <c r="CF65" s="16" t="inlineStr">
        <is>
          <t>Sí</t>
        </is>
      </c>
      <c r="CG65" s="16" t="inlineStr">
        <is>
          <t>No</t>
        </is>
      </c>
      <c r="CH65" s="16" t="inlineStr">
        <is>
          <t>No</t>
        </is>
      </c>
      <c r="CI65" s="16" t="inlineStr">
        <is>
          <t>Sí</t>
        </is>
      </c>
      <c r="CJ65" s="16" t="inlineStr">
        <is>
          <t>No</t>
        </is>
      </c>
      <c r="CK65" s="16" t="inlineStr">
        <is>
          <t>Sí</t>
        </is>
      </c>
      <c r="CL65" s="16" t="inlineStr">
        <is>
          <t>Sí</t>
        </is>
      </c>
      <c r="CM65" s="16" t="inlineStr">
        <is>
          <t>07:41</t>
        </is>
      </c>
      <c r="CN65" s="16" t="inlineStr">
        <is>
          <t>Mate</t>
        </is>
      </c>
      <c r="CO65" s="16" t="inlineStr">
        <is>
          <t>10:30</t>
        </is>
      </c>
      <c r="CP65" s="16" t="n">
        <v>87</v>
      </c>
      <c r="CQ65" s="16" t="n">
        <v>169</v>
      </c>
      <c r="CR65" s="16" t="inlineStr">
        <is>
          <t>Sí</t>
        </is>
      </c>
      <c r="CS65" s="16" t="n">
        <v>16</v>
      </c>
      <c r="CT65" s="16" t="inlineStr">
        <is>
          <t>Alto</t>
        </is>
      </c>
      <c r="CU65" s="16" t="inlineStr">
        <is>
          <t>33 %</t>
        </is>
      </c>
      <c r="CV65" s="16" t="inlineStr">
        <is>
          <t>Sí</t>
        </is>
      </c>
      <c r="CW65" s="16" t="n">
        <v>14</v>
      </c>
      <c r="CX65" s="16" t="inlineStr">
        <is>
          <t>16</t>
        </is>
      </c>
      <c r="CY65" s="16" t="inlineStr">
        <is>
          <t>Moderado</t>
        </is>
      </c>
    </row>
    <row r="66">
      <c r="A66" s="16" t="inlineStr">
        <is>
          <t>demo-65</t>
        </is>
      </c>
      <c r="B66" s="16" t="inlineStr">
        <is>
          <t>C1-0065</t>
        </is>
      </c>
      <c r="C66" s="16" t="inlineStr">
        <is>
          <t>464-48-4500</t>
        </is>
      </c>
      <c r="D66" s="16" t="n">
        <v>464</v>
      </c>
      <c r="E66" s="16" t="n">
        <v>48</v>
      </c>
      <c r="F66" s="16" t="inlineStr">
        <is>
          <t>4500</t>
        </is>
      </c>
      <c r="G66" s="17" t="n">
        <v>46294</v>
      </c>
      <c r="H66" s="16" t="inlineStr">
        <is>
          <t>12:09</t>
        </is>
      </c>
      <c r="J66" s="16" t="inlineStr">
        <is>
          <t>C</t>
        </is>
      </c>
      <c r="K66" s="16" t="inlineStr">
        <is>
          <t>1</t>
        </is>
      </c>
      <c r="L66" s="16" t="inlineStr">
        <is>
          <t>Encuestador C</t>
        </is>
      </c>
      <c r="M66" s="16" t="inlineStr">
        <is>
          <t>Puesto 1</t>
        </is>
      </c>
      <c r="N66" s="16" t="inlineStr">
        <is>
          <t>Sí</t>
        </is>
      </c>
      <c r="O66" s="16" t="inlineStr">
        <is>
          <t>Sí</t>
        </is>
      </c>
      <c r="P66" s="16" t="n">
        <v>39</v>
      </c>
      <c r="Q66" s="16" t="inlineStr">
        <is>
          <t>Sí</t>
        </is>
      </c>
      <c r="R66" s="16" t="inlineStr">
        <is>
          <t>Sí</t>
        </is>
      </c>
      <c r="S66" s="16" t="inlineStr">
        <is>
          <t>Sí</t>
        </is>
      </c>
      <c r="T66" s="16" t="inlineStr">
        <is>
          <t>finalizado</t>
        </is>
      </c>
      <c r="U66" s="16" t="inlineStr">
        <is>
          <t>2026-10-v2</t>
        </is>
      </c>
      <c r="V66" s="16" t="inlineStr">
        <is>
          <t>2026-09-29T15:00:00.000Z</t>
        </is>
      </c>
      <c r="W66" s="16" t="inlineStr">
        <is>
          <t>Brasil</t>
        </is>
      </c>
      <c r="Y66" s="16" t="inlineStr">
        <is>
          <t>Terciario incompleto</t>
        </is>
      </c>
      <c r="Z66" s="16" t="inlineStr">
        <is>
          <t>Sí</t>
        </is>
      </c>
      <c r="AA66" s="16" t="inlineStr">
        <is>
          <t>5</t>
        </is>
      </c>
      <c r="AB66" s="16" t="inlineStr">
        <is>
          <t>2</t>
        </is>
      </c>
      <c r="AC66" s="16" t="inlineStr">
        <is>
          <t>Portugués</t>
        </is>
      </c>
      <c r="AE66" s="16" t="inlineStr">
        <is>
          <t>Español</t>
        </is>
      </c>
      <c r="AG66" s="16" t="inlineStr">
        <is>
          <t>Argentina</t>
        </is>
      </c>
      <c r="AI66" s="16" t="inlineStr">
        <is>
          <t>Regular</t>
        </is>
      </c>
      <c r="AJ66" s="16" t="n">
        <v>25</v>
      </c>
      <c r="AK66" s="16" t="inlineStr">
        <is>
          <t>Viaje interprovincial</t>
        </is>
      </c>
      <c r="AL66" s="16" t="inlineStr">
        <is>
          <t>Quincenalmente</t>
        </is>
      </c>
      <c r="AN66" s="16" t="inlineStr">
        <is>
          <t>3 veces por semana</t>
        </is>
      </c>
      <c r="AP66" s="16" t="inlineStr">
        <is>
          <t>Empleado</t>
        </is>
      </c>
      <c r="AR66" s="16" t="inlineStr">
        <is>
          <t>Disconforme</t>
        </is>
      </c>
      <c r="AS66" s="16" t="inlineStr">
        <is>
          <t>Sí</t>
        </is>
      </c>
      <c r="AT66" s="16" t="n">
        <v>4.3</v>
      </c>
      <c r="AU66" s="16" t="inlineStr">
        <is>
          <t>Sí</t>
        </is>
      </c>
      <c r="AV66" s="16" t="inlineStr">
        <is>
          <t>En el camión al costado de la ruta</t>
        </is>
      </c>
      <c r="AX66" s="16" t="n">
        <v>5.7</v>
      </c>
      <c r="AY66" s="16" t="inlineStr">
        <is>
          <t>Nunca</t>
        </is>
      </c>
      <c r="AZ66" s="16" t="inlineStr">
        <is>
          <t>Agua</t>
        </is>
      </c>
      <c r="BB66" s="16" t="inlineStr">
        <is>
          <t>A veces</t>
        </is>
      </c>
      <c r="BC66" s="16" t="inlineStr">
        <is>
          <t>Rara vez</t>
        </is>
      </c>
      <c r="BD66" s="16" t="inlineStr">
        <is>
          <t>Sí</t>
        </is>
      </c>
      <c r="BE66" s="16" t="inlineStr">
        <is>
          <t>No</t>
        </is>
      </c>
      <c r="BF66" s="16" t="inlineStr">
        <is>
          <t>Obra social</t>
        </is>
      </c>
      <c r="BG66" s="16" t="inlineStr">
        <is>
          <t>Ninguno</t>
        </is>
      </c>
      <c r="BH66" s="16" t="inlineStr">
        <is>
          <t>Solo cuando me siento mal</t>
        </is>
      </c>
      <c r="BI66" s="16" t="inlineStr">
        <is>
          <t>Sistema público</t>
        </is>
      </c>
      <c r="BJ66" s="16" t="inlineStr">
        <is>
          <t>No</t>
        </is>
      </c>
      <c r="BL66" s="16" t="inlineStr">
        <is>
          <t>Medicamentos</t>
        </is>
      </c>
      <c r="BM66" s="16" t="inlineStr">
        <is>
          <t>Ibuprofeno</t>
        </is>
      </c>
      <c r="BN66" s="16" t="inlineStr">
        <is>
          <t>Musculoesqueléticos</t>
        </is>
      </c>
      <c r="BP66" s="16" t="inlineStr">
        <is>
          <t>Nunca</t>
        </is>
      </c>
      <c r="BQ66" s="16" t="inlineStr">
        <is>
          <t>Energizantes (Speed, Monster, Red Bull, etc.)</t>
        </is>
      </c>
      <c r="BS66" s="16" t="inlineStr">
        <is>
          <t>Sí</t>
        </is>
      </c>
      <c r="BT66" s="16" t="inlineStr">
        <is>
          <t>Sí</t>
        </is>
      </c>
      <c r="BU66" s="16" t="inlineStr">
        <is>
          <t>A veces</t>
        </is>
      </c>
      <c r="BV66" s="16" t="inlineStr">
        <is>
          <t>No</t>
        </is>
      </c>
      <c r="BW66" s="16" t="inlineStr">
        <is>
          <t>No</t>
        </is>
      </c>
      <c r="BX66" s="16" t="inlineStr">
        <is>
          <t>Varón</t>
        </is>
      </c>
      <c r="BY66" s="16" t="n">
        <v>81.09999999999999</v>
      </c>
      <c r="BZ66" s="16" t="n">
        <v>1.77</v>
      </c>
      <c r="CA66" s="16" t="n">
        <v>25.9</v>
      </c>
      <c r="CB66" s="16" t="n">
        <v>83</v>
      </c>
      <c r="CC66" s="16" t="n">
        <v>150</v>
      </c>
      <c r="CD66" s="16" t="n">
        <v>95</v>
      </c>
      <c r="CE66" s="16" t="inlineStr">
        <is>
          <t>No</t>
        </is>
      </c>
      <c r="CF66" s="16" t="inlineStr">
        <is>
          <t>No</t>
        </is>
      </c>
      <c r="CG66" s="16" t="inlineStr">
        <is>
          <t>No</t>
        </is>
      </c>
      <c r="CH66" s="16" t="inlineStr">
        <is>
          <t>No</t>
        </is>
      </c>
      <c r="CI66" s="16" t="inlineStr">
        <is>
          <t>No</t>
        </is>
      </c>
      <c r="CJ66" s="16" t="inlineStr">
        <is>
          <t>No</t>
        </is>
      </c>
      <c r="CK66" s="16" t="inlineStr">
        <is>
          <t>Sí</t>
        </is>
      </c>
      <c r="CL66" s="16" t="inlineStr">
        <is>
          <t>Sí</t>
        </is>
      </c>
      <c r="CM66" s="16" t="inlineStr">
        <is>
          <t>07:18</t>
        </is>
      </c>
      <c r="CN66" s="16" t="inlineStr">
        <is>
          <t>Mate</t>
        </is>
      </c>
      <c r="CO66" s="16" t="inlineStr">
        <is>
          <t>14:30</t>
        </is>
      </c>
      <c r="CP66" s="16" t="n">
        <v>149</v>
      </c>
      <c r="CQ66" s="16" t="n">
        <v>432</v>
      </c>
      <c r="CR66" s="16" t="inlineStr">
        <is>
          <t>Sí</t>
        </is>
      </c>
      <c r="CS66" s="16" t="n">
        <v>6</v>
      </c>
      <c r="CT66" s="16" t="inlineStr">
        <is>
          <t>Bajo</t>
        </is>
      </c>
      <c r="CU66" s="16" t="inlineStr">
        <is>
          <t>1 %</t>
        </is>
      </c>
      <c r="CV66" s="16" t="inlineStr">
        <is>
          <t>Sí</t>
        </is>
      </c>
      <c r="CW66" s="16" t="n">
        <v>10</v>
      </c>
      <c r="CX66" s="16" t="inlineStr">
        <is>
          <t>6</t>
        </is>
      </c>
      <c r="CY66" s="16" t="inlineStr">
        <is>
          <t>Bajo</t>
        </is>
      </c>
    </row>
    <row r="67">
      <c r="A67" s="16" t="inlineStr">
        <is>
          <t>demo-66</t>
        </is>
      </c>
      <c r="B67" s="16" t="inlineStr">
        <is>
          <t>C1-0066</t>
        </is>
      </c>
      <c r="C67" s="16" t="inlineStr">
        <is>
          <t>465-30-4400</t>
        </is>
      </c>
      <c r="D67" s="16" t="n">
        <v>465</v>
      </c>
      <c r="E67" s="16" t="n">
        <v>30</v>
      </c>
      <c r="F67" s="16" t="inlineStr">
        <is>
          <t>4400</t>
        </is>
      </c>
      <c r="G67" s="17" t="n">
        <v>46296</v>
      </c>
      <c r="H67" s="16" t="inlineStr">
        <is>
          <t>13:04</t>
        </is>
      </c>
      <c r="J67" s="16" t="inlineStr">
        <is>
          <t>C</t>
        </is>
      </c>
      <c r="K67" s="16" t="inlineStr">
        <is>
          <t>1</t>
        </is>
      </c>
      <c r="L67" s="16" t="inlineStr">
        <is>
          <t>Encuestador C</t>
        </is>
      </c>
      <c r="M67" s="16" t="inlineStr">
        <is>
          <t>Puesto 2</t>
        </is>
      </c>
      <c r="N67" s="16" t="inlineStr">
        <is>
          <t>Sí</t>
        </is>
      </c>
      <c r="O67" s="16" t="inlineStr">
        <is>
          <t>Sí</t>
        </is>
      </c>
      <c r="P67" s="16" t="n">
        <v>38</v>
      </c>
      <c r="Q67" s="16" t="inlineStr">
        <is>
          <t>Sí</t>
        </is>
      </c>
      <c r="R67" s="16" t="inlineStr">
        <is>
          <t>Sí</t>
        </is>
      </c>
      <c r="S67" s="16" t="inlineStr">
        <is>
          <t>Sí</t>
        </is>
      </c>
      <c r="T67" s="16" t="inlineStr">
        <is>
          <t>finalizado</t>
        </is>
      </c>
      <c r="U67" s="16" t="inlineStr">
        <is>
          <t>2026-10-v2</t>
        </is>
      </c>
      <c r="V67" s="16" t="inlineStr">
        <is>
          <t>2026-10-01T15:00:00.000Z</t>
        </is>
      </c>
      <c r="W67" s="16" t="inlineStr">
        <is>
          <t>Argentina</t>
        </is>
      </c>
      <c r="Y67" s="16" t="inlineStr">
        <is>
          <t>Secundaria completa</t>
        </is>
      </c>
      <c r="Z67" s="16" t="inlineStr">
        <is>
          <t>Sí</t>
        </is>
      </c>
      <c r="AA67" s="16" t="inlineStr">
        <is>
          <t>2</t>
        </is>
      </c>
      <c r="AB67" s="16" t="inlineStr">
        <is>
          <t>3</t>
        </is>
      </c>
      <c r="AC67" s="16" t="inlineStr">
        <is>
          <t>Guaraní</t>
        </is>
      </c>
      <c r="AE67" s="16" t="inlineStr">
        <is>
          <t>Español</t>
        </is>
      </c>
      <c r="AG67" s="16" t="inlineStr">
        <is>
          <t>Argentina</t>
        </is>
      </c>
      <c r="AI67" s="16" t="inlineStr">
        <is>
          <t>Regular</t>
        </is>
      </c>
      <c r="AJ67" s="16" t="n">
        <v>4</v>
      </c>
      <c r="AK67" s="16" t="inlineStr">
        <is>
          <t>Viaje interprovincial</t>
        </is>
      </c>
      <c r="AL67" s="16" t="inlineStr">
        <is>
          <t>Quincenalmente</t>
        </is>
      </c>
      <c r="AN67" s="16" t="inlineStr">
        <is>
          <t>3 veces por semana</t>
        </is>
      </c>
      <c r="AP67" s="16" t="inlineStr">
        <is>
          <t>Dueño del camión</t>
        </is>
      </c>
      <c r="AR67" s="16" t="inlineStr">
        <is>
          <t>Parcialmente conforme</t>
        </is>
      </c>
      <c r="AS67" s="16" t="inlineStr">
        <is>
          <t>No</t>
        </is>
      </c>
      <c r="AT67" s="16" t="n">
        <v>3.2</v>
      </c>
      <c r="AU67" s="16" t="inlineStr">
        <is>
          <t>Sí</t>
        </is>
      </c>
      <c r="AV67" s="16" t="inlineStr">
        <is>
          <t>Paradores</t>
        </is>
      </c>
      <c r="AX67" s="16" t="n">
        <v>4.8</v>
      </c>
      <c r="AY67" s="16" t="inlineStr">
        <is>
          <t>Casi nunca</t>
        </is>
      </c>
      <c r="AZ67" s="16" t="inlineStr">
        <is>
          <t>Gaseosas; Café</t>
        </is>
      </c>
      <c r="BB67" s="16" t="inlineStr">
        <is>
          <t>Sí, siempre</t>
        </is>
      </c>
      <c r="BC67" s="16" t="inlineStr">
        <is>
          <t>No</t>
        </is>
      </c>
      <c r="BD67" s="16" t="inlineStr">
        <is>
          <t>No</t>
        </is>
      </c>
      <c r="BE67" s="16" t="inlineStr">
        <is>
          <t>Sí</t>
        </is>
      </c>
      <c r="BF67" s="16" t="inlineStr">
        <is>
          <t>Ninguna</t>
        </is>
      </c>
      <c r="BG67" s="16" t="inlineStr">
        <is>
          <t>Sistema privado</t>
        </is>
      </c>
      <c r="BH67" s="16" t="inlineStr">
        <is>
          <t>2 veces al año</t>
        </is>
      </c>
      <c r="BI67" s="16" t="inlineStr">
        <is>
          <t>Sistema público; Otros (medicina tradicional, alternativa, etc.)</t>
        </is>
      </c>
      <c r="BJ67" s="16" t="inlineStr">
        <is>
          <t>No</t>
        </is>
      </c>
      <c r="BL67" s="16" t="inlineStr">
        <is>
          <t>Ninguno</t>
        </is>
      </c>
      <c r="BN67" s="16" t="inlineStr">
        <is>
          <t>Musculoesqueléticos</t>
        </is>
      </c>
      <c r="BP67" s="16" t="inlineStr">
        <is>
          <t>Nunca</t>
        </is>
      </c>
      <c r="BQ67" s="16" t="inlineStr">
        <is>
          <t>Café; Coca-Cola</t>
        </is>
      </c>
      <c r="BS67" s="16" t="inlineStr">
        <is>
          <t>No</t>
        </is>
      </c>
      <c r="BT67" s="16" t="inlineStr">
        <is>
          <t>No</t>
        </is>
      </c>
      <c r="BU67" s="16" t="inlineStr">
        <is>
          <t>Siempre</t>
        </is>
      </c>
      <c r="BV67" s="16" t="inlineStr">
        <is>
          <t>Sí</t>
        </is>
      </c>
      <c r="BW67" s="16" t="inlineStr">
        <is>
          <t>No</t>
        </is>
      </c>
      <c r="BX67" s="16" t="inlineStr">
        <is>
          <t>Varón</t>
        </is>
      </c>
      <c r="BY67" s="16" t="n">
        <v>83.2</v>
      </c>
      <c r="BZ67" s="16" t="n">
        <v>1.87</v>
      </c>
      <c r="CA67" s="16" t="n">
        <v>23.8</v>
      </c>
      <c r="CB67" s="16" t="n">
        <v>79</v>
      </c>
      <c r="CC67" s="16" t="n">
        <v>169</v>
      </c>
      <c r="CD67" s="16" t="n">
        <v>107</v>
      </c>
      <c r="CE67" s="16" t="inlineStr">
        <is>
          <t>No</t>
        </is>
      </c>
      <c r="CF67" s="16" t="inlineStr">
        <is>
          <t>Sí</t>
        </is>
      </c>
      <c r="CG67" s="16" t="inlineStr">
        <is>
          <t>No</t>
        </is>
      </c>
      <c r="CH67" s="16" t="inlineStr">
        <is>
          <t>No</t>
        </is>
      </c>
      <c r="CI67" s="16" t="inlineStr">
        <is>
          <t>Sí</t>
        </is>
      </c>
      <c r="CJ67" s="16" t="inlineStr">
        <is>
          <t>No</t>
        </is>
      </c>
      <c r="CK67" s="16" t="inlineStr">
        <is>
          <t>No</t>
        </is>
      </c>
      <c r="CL67" s="16" t="inlineStr">
        <is>
          <t>Sí</t>
        </is>
      </c>
      <c r="CM67" s="16" t="inlineStr">
        <is>
          <t>07:11</t>
        </is>
      </c>
      <c r="CN67" s="16" t="inlineStr">
        <is>
          <t>Mate</t>
        </is>
      </c>
      <c r="CO67" s="16" t="inlineStr">
        <is>
          <t>13:30</t>
        </is>
      </c>
      <c r="CP67" s="16" t="n">
        <v>173</v>
      </c>
      <c r="CQ67" s="16" t="n">
        <v>379</v>
      </c>
      <c r="CR67" s="16" t="inlineStr">
        <is>
          <t>Sí</t>
        </is>
      </c>
      <c r="CS67" s="16" t="n">
        <v>7</v>
      </c>
      <c r="CT67" s="16" t="inlineStr">
        <is>
          <t>Ligeramente elevado</t>
        </is>
      </c>
      <c r="CU67" s="16" t="inlineStr">
        <is>
          <t>4 %</t>
        </is>
      </c>
      <c r="CV67" s="16" t="inlineStr">
        <is>
          <t>Sí</t>
        </is>
      </c>
      <c r="CW67" s="16" t="n">
        <v>-7</v>
      </c>
      <c r="CX67" s="16" t="inlineStr">
        <is>
          <t>&lt;1</t>
        </is>
      </c>
      <c r="CY67" s="16" t="inlineStr">
        <is>
          <t>Bajo</t>
        </is>
      </c>
    </row>
    <row r="68">
      <c r="A68" s="16" t="inlineStr">
        <is>
          <t>demo-67</t>
        </is>
      </c>
      <c r="B68" s="16" t="inlineStr">
        <is>
          <t>C1-0067</t>
        </is>
      </c>
      <c r="C68" s="16" t="inlineStr">
        <is>
          <t>466-65-4400</t>
        </is>
      </c>
      <c r="D68" s="16" t="n">
        <v>466</v>
      </c>
      <c r="E68" s="16" t="n">
        <v>65</v>
      </c>
      <c r="F68" s="16" t="inlineStr">
        <is>
          <t>4400</t>
        </is>
      </c>
      <c r="G68" s="17" t="n">
        <v>46291</v>
      </c>
      <c r="H68" s="16" t="inlineStr">
        <is>
          <t>12:07</t>
        </is>
      </c>
      <c r="J68" s="16" t="inlineStr">
        <is>
          <t>C</t>
        </is>
      </c>
      <c r="K68" s="16" t="inlineStr">
        <is>
          <t>1</t>
        </is>
      </c>
      <c r="L68" s="16" t="inlineStr">
        <is>
          <t>Encuestador C</t>
        </is>
      </c>
      <c r="M68" s="16" t="inlineStr">
        <is>
          <t>Puesto 1</t>
        </is>
      </c>
      <c r="N68" s="16" t="inlineStr">
        <is>
          <t>Sí</t>
        </is>
      </c>
      <c r="O68" s="16" t="inlineStr">
        <is>
          <t>No</t>
        </is>
      </c>
      <c r="P68" s="16" t="n">
        <v>39</v>
      </c>
      <c r="Q68" s="16" t="inlineStr">
        <is>
          <t>Sí</t>
        </is>
      </c>
      <c r="R68" s="16" t="inlineStr">
        <is>
          <t>Sí</t>
        </is>
      </c>
      <c r="S68" s="16" t="inlineStr">
        <is>
          <t>Sí</t>
        </is>
      </c>
      <c r="T68" s="16" t="inlineStr">
        <is>
          <t>finalizado</t>
        </is>
      </c>
      <c r="U68" s="16" t="inlineStr">
        <is>
          <t>2026-10-v2</t>
        </is>
      </c>
      <c r="V68" s="16" t="inlineStr">
        <is>
          <t>2026-09-26T15:00:00.000Z</t>
        </is>
      </c>
      <c r="W68" s="16" t="inlineStr">
        <is>
          <t>Argentina</t>
        </is>
      </c>
      <c r="Y68" s="16" t="inlineStr">
        <is>
          <t>Secundaria completa</t>
        </is>
      </c>
      <c r="Z68" s="16" t="inlineStr">
        <is>
          <t>No</t>
        </is>
      </c>
      <c r="AA68" s="16" t="inlineStr">
        <is>
          <t>4</t>
        </is>
      </c>
      <c r="AB68" s="16" t="inlineStr">
        <is>
          <t>4</t>
        </is>
      </c>
      <c r="AC68" s="16" t="inlineStr">
        <is>
          <t>Portugués</t>
        </is>
      </c>
      <c r="AE68" s="16" t="inlineStr">
        <is>
          <t>Español</t>
        </is>
      </c>
      <c r="AG68" s="16" t="inlineStr">
        <is>
          <t>Argentina</t>
        </is>
      </c>
      <c r="AI68" s="16" t="inlineStr">
        <is>
          <t>Regular</t>
        </is>
      </c>
      <c r="AJ68" s="16" t="n">
        <v>32</v>
      </c>
      <c r="AK68" s="16" t="inlineStr">
        <is>
          <t>Viaje provincial (Jujuy)</t>
        </is>
      </c>
      <c r="AL68" s="16" t="inlineStr">
        <is>
          <t>Una vez al mes</t>
        </is>
      </c>
      <c r="AN68" s="16" t="inlineStr">
        <is>
          <t>2 veces por semana</t>
        </is>
      </c>
      <c r="AP68" s="16" t="inlineStr">
        <is>
          <t>Empleado</t>
        </is>
      </c>
      <c r="AR68" s="16" t="inlineStr">
        <is>
          <t>Disconforme</t>
        </is>
      </c>
      <c r="AS68" s="16" t="inlineStr">
        <is>
          <t>Duda</t>
        </is>
      </c>
      <c r="AT68" s="16" t="n">
        <v>5</v>
      </c>
      <c r="AU68" s="16" t="inlineStr">
        <is>
          <t>Sí</t>
        </is>
      </c>
      <c r="AV68" s="16" t="inlineStr">
        <is>
          <t>Paradores</t>
        </is>
      </c>
      <c r="AX68" s="16" t="n">
        <v>4</v>
      </c>
      <c r="AY68" s="16" t="inlineStr">
        <is>
          <t>Varias veces por semana</t>
        </is>
      </c>
      <c r="AZ68" s="16" t="inlineStr">
        <is>
          <t>Agua</t>
        </is>
      </c>
      <c r="BB68" s="16" t="inlineStr">
        <is>
          <t>A veces</t>
        </is>
      </c>
      <c r="BC68" s="16" t="inlineStr">
        <is>
          <t>Rara vez</t>
        </is>
      </c>
      <c r="BD68" s="16" t="inlineStr">
        <is>
          <t>No</t>
        </is>
      </c>
      <c r="BE68" s="16" t="inlineStr">
        <is>
          <t>Parcialmente</t>
        </is>
      </c>
      <c r="BF68" s="16" t="inlineStr">
        <is>
          <t>Obra social</t>
        </is>
      </c>
      <c r="BG68" s="16" t="inlineStr">
        <is>
          <t>Sistema público</t>
        </is>
      </c>
      <c r="BH68" s="16" t="inlineStr">
        <is>
          <t>Solo cuando me siento mal</t>
        </is>
      </c>
      <c r="BI68" s="16" t="inlineStr">
        <is>
          <t>Sistema privado</t>
        </is>
      </c>
      <c r="BJ68" s="16" t="inlineStr">
        <is>
          <t>Sí</t>
        </is>
      </c>
      <c r="BK68" s="16" t="inlineStr">
        <is>
          <t>Lumbar</t>
        </is>
      </c>
      <c r="BL68" s="16" t="inlineStr">
        <is>
          <t>Medicamentos; Hierbas</t>
        </is>
      </c>
      <c r="BM68" s="16" t="inlineStr">
        <is>
          <t>Ibuprofeno</t>
        </is>
      </c>
      <c r="BN68" s="16" t="inlineStr">
        <is>
          <t>Obesidad</t>
        </is>
      </c>
      <c r="BP68" s="16" t="inlineStr">
        <is>
          <t>Nunca</t>
        </is>
      </c>
      <c r="BQ68" s="16" t="inlineStr">
        <is>
          <t>Café</t>
        </is>
      </c>
      <c r="BS68" s="16" t="inlineStr">
        <is>
          <t>Sí</t>
        </is>
      </c>
      <c r="BT68" s="16" t="inlineStr">
        <is>
          <t>No</t>
        </is>
      </c>
      <c r="BU68" s="16" t="inlineStr">
        <is>
          <t>Nunca</t>
        </is>
      </c>
      <c r="BV68" s="16" t="inlineStr">
        <is>
          <t>Sí</t>
        </is>
      </c>
      <c r="BW68" s="16" t="inlineStr">
        <is>
          <t>No</t>
        </is>
      </c>
      <c r="BX68" s="16" t="inlineStr">
        <is>
          <t>Varón</t>
        </is>
      </c>
      <c r="BY68" s="16" t="n">
        <v>102.5</v>
      </c>
      <c r="BZ68" s="16" t="n">
        <v>1.81</v>
      </c>
      <c r="CA68" s="16" t="n">
        <v>31.3</v>
      </c>
      <c r="CB68" s="16" t="n">
        <v>83</v>
      </c>
      <c r="CC68" s="16" t="n">
        <v>126</v>
      </c>
      <c r="CD68" s="16" t="n">
        <v>80</v>
      </c>
      <c r="CE68" s="16" t="inlineStr">
        <is>
          <t>No</t>
        </is>
      </c>
      <c r="CF68" s="16" t="inlineStr">
        <is>
          <t>Sí</t>
        </is>
      </c>
      <c r="CG68" s="16" t="inlineStr">
        <is>
          <t>No</t>
        </is>
      </c>
      <c r="CH68" s="16" t="inlineStr">
        <is>
          <t>No</t>
        </is>
      </c>
      <c r="CI68" s="16" t="inlineStr">
        <is>
          <t>No</t>
        </is>
      </c>
      <c r="CJ68" s="16" t="inlineStr">
        <is>
          <t>Sí, primer grado</t>
        </is>
      </c>
      <c r="CK68" s="16" t="inlineStr">
        <is>
          <t>No</t>
        </is>
      </c>
      <c r="CL68" s="16" t="inlineStr">
        <is>
          <t>Sí</t>
        </is>
      </c>
      <c r="CM68" s="16" t="inlineStr">
        <is>
          <t>07:17</t>
        </is>
      </c>
      <c r="CN68" s="16" t="inlineStr">
        <is>
          <t>Mate</t>
        </is>
      </c>
      <c r="CO68" s="16" t="inlineStr">
        <is>
          <t>11:30</t>
        </is>
      </c>
      <c r="CP68" s="16" t="n">
        <v>132</v>
      </c>
      <c r="CQ68" s="16" t="n">
        <v>253</v>
      </c>
      <c r="CR68" s="16" t="inlineStr">
        <is>
          <t>Sí</t>
        </is>
      </c>
      <c r="CS68" s="16" t="n">
        <v>14</v>
      </c>
      <c r="CT68" s="16" t="inlineStr">
        <is>
          <t>Moderado</t>
        </is>
      </c>
      <c r="CU68" s="16" t="inlineStr">
        <is>
          <t>17 %</t>
        </is>
      </c>
      <c r="CV68" s="16" t="inlineStr">
        <is>
          <t>Sí</t>
        </is>
      </c>
      <c r="CW68" s="16" t="n">
        <v>13</v>
      </c>
      <c r="CX68" s="16" t="inlineStr">
        <is>
          <t>12</t>
        </is>
      </c>
      <c r="CY68" s="16" t="inlineStr">
        <is>
          <t>Moderado</t>
        </is>
      </c>
    </row>
    <row r="69">
      <c r="A69" s="16" t="inlineStr">
        <is>
          <t>demo-68</t>
        </is>
      </c>
      <c r="B69" s="16" t="inlineStr">
        <is>
          <t>A1-0068</t>
        </is>
      </c>
      <c r="C69" s="16" t="inlineStr">
        <is>
          <t>068-48-4500</t>
        </is>
      </c>
      <c r="D69" s="16" t="n">
        <v>68</v>
      </c>
      <c r="E69" s="16" t="n">
        <v>48</v>
      </c>
      <c r="F69" s="16" t="inlineStr">
        <is>
          <t>4500</t>
        </is>
      </c>
      <c r="G69" s="17" t="n">
        <v>46291</v>
      </c>
      <c r="H69" s="16" t="inlineStr">
        <is>
          <t>14:06</t>
        </is>
      </c>
      <c r="J69" s="16" t="inlineStr">
        <is>
          <t>A</t>
        </is>
      </c>
      <c r="K69" s="16" t="inlineStr">
        <is>
          <t>1</t>
        </is>
      </c>
      <c r="L69" s="16" t="inlineStr">
        <is>
          <t>Encuestador A</t>
        </is>
      </c>
      <c r="M69" s="16" t="inlineStr">
        <is>
          <t>Puesto 2</t>
        </is>
      </c>
      <c r="N69" s="16" t="inlineStr">
        <is>
          <t>Sí</t>
        </is>
      </c>
      <c r="O69" s="16" t="inlineStr">
        <is>
          <t>Sí</t>
        </is>
      </c>
      <c r="P69" s="16" t="n">
        <v>39</v>
      </c>
      <c r="Q69" s="16" t="inlineStr">
        <is>
          <t>Sí</t>
        </is>
      </c>
      <c r="R69" s="16" t="inlineStr">
        <is>
          <t>Sí</t>
        </is>
      </c>
      <c r="S69" s="16" t="inlineStr">
        <is>
          <t>Sí</t>
        </is>
      </c>
      <c r="T69" s="16" t="inlineStr">
        <is>
          <t>finalizado</t>
        </is>
      </c>
      <c r="U69" s="16" t="inlineStr">
        <is>
          <t>2026-10-v2</t>
        </is>
      </c>
      <c r="V69" s="16" t="inlineStr">
        <is>
          <t>2026-09-26T15:00:00.000Z</t>
        </is>
      </c>
      <c r="W69" s="16" t="inlineStr">
        <is>
          <t>Chile</t>
        </is>
      </c>
      <c r="Y69" s="16" t="inlineStr">
        <is>
          <t>Secundaria incompleta</t>
        </is>
      </c>
      <c r="Z69" s="16" t="inlineStr">
        <is>
          <t>No</t>
        </is>
      </c>
      <c r="AA69" s="16" t="inlineStr">
        <is>
          <t>3</t>
        </is>
      </c>
      <c r="AB69" s="16" t="inlineStr">
        <is>
          <t>2</t>
        </is>
      </c>
      <c r="AC69" s="16" t="inlineStr">
        <is>
          <t>Portugués</t>
        </is>
      </c>
      <c r="AE69" s="16" t="inlineStr">
        <is>
          <t>Español</t>
        </is>
      </c>
      <c r="AG69" s="16" t="inlineStr">
        <is>
          <t>Argentina</t>
        </is>
      </c>
      <c r="AI69" s="16" t="inlineStr">
        <is>
          <t>Bueno</t>
        </is>
      </c>
      <c r="AJ69" s="16" t="n">
        <v>25</v>
      </c>
      <c r="AK69" s="16" t="inlineStr">
        <is>
          <t>Viaje internacional</t>
        </is>
      </c>
      <c r="AL69" s="16" t="inlineStr">
        <is>
          <t>Una vez al mes</t>
        </is>
      </c>
      <c r="AN69" s="16" t="inlineStr">
        <is>
          <t>Una vez a la semana</t>
        </is>
      </c>
      <c r="AP69" s="16" t="inlineStr">
        <is>
          <t>Dueño del camión</t>
        </is>
      </c>
      <c r="AR69" s="16" t="inlineStr">
        <is>
          <t>Parcialmente conforme</t>
        </is>
      </c>
      <c r="AS69" s="16" t="inlineStr">
        <is>
          <t>Duda</t>
        </is>
      </c>
      <c r="AT69" s="16" t="n">
        <v>5.8</v>
      </c>
      <c r="AU69" s="16" t="inlineStr">
        <is>
          <t>Sí</t>
        </is>
      </c>
      <c r="AV69" s="16" t="inlineStr">
        <is>
          <t>Estaciones de servicio</t>
        </is>
      </c>
      <c r="AX69" s="16" t="n">
        <v>7.4</v>
      </c>
      <c r="AY69" s="16" t="inlineStr">
        <is>
          <t>Nunca</t>
        </is>
      </c>
      <c r="AZ69" s="16" t="inlineStr">
        <is>
          <t>Café</t>
        </is>
      </c>
      <c r="BB69" s="16" t="inlineStr">
        <is>
          <t>Sí, siempre</t>
        </is>
      </c>
      <c r="BC69" s="16" t="inlineStr">
        <is>
          <t>Algunas veces</t>
        </is>
      </c>
      <c r="BD69" s="16" t="inlineStr">
        <is>
          <t>No</t>
        </is>
      </c>
      <c r="BE69" s="16" t="inlineStr">
        <is>
          <t>Sí</t>
        </is>
      </c>
      <c r="BF69" s="16" t="inlineStr">
        <is>
          <t>Obra social</t>
        </is>
      </c>
      <c r="BG69" s="16" t="inlineStr">
        <is>
          <t>Sistema privado</t>
        </is>
      </c>
      <c r="BH69" s="16" t="inlineStr">
        <is>
          <t>Una vez al año</t>
        </is>
      </c>
      <c r="BI69" s="16" t="inlineStr">
        <is>
          <t>Sistema público; Otros (medicina tradicional, alternativa, etc.)</t>
        </is>
      </c>
      <c r="BJ69" s="16" t="inlineStr">
        <is>
          <t>No</t>
        </is>
      </c>
      <c r="BL69" s="16" t="inlineStr">
        <is>
          <t>Medicamentos</t>
        </is>
      </c>
      <c r="BM69" s="16" t="inlineStr">
        <is>
          <t>Ibuprofeno</t>
        </is>
      </c>
      <c r="BN69" s="16" t="inlineStr">
        <is>
          <t>Obesidad</t>
        </is>
      </c>
      <c r="BP69" s="16" t="inlineStr">
        <is>
          <t>Una vez a la semana</t>
        </is>
      </c>
      <c r="BQ69" s="16" t="inlineStr">
        <is>
          <t>No</t>
        </is>
      </c>
      <c r="BS69" s="16" t="inlineStr">
        <is>
          <t>Sí</t>
        </is>
      </c>
      <c r="BT69" s="16" t="inlineStr">
        <is>
          <t>No</t>
        </is>
      </c>
      <c r="BU69" s="16" t="inlineStr">
        <is>
          <t>A veces</t>
        </is>
      </c>
      <c r="BV69" s="16" t="inlineStr">
        <is>
          <t>Sí</t>
        </is>
      </c>
      <c r="BW69" s="16" t="inlineStr">
        <is>
          <t>No</t>
        </is>
      </c>
      <c r="BX69" s="16" t="inlineStr">
        <is>
          <t>Varón</t>
        </is>
      </c>
      <c r="BY69" s="16" t="n">
        <v>86.8</v>
      </c>
      <c r="BZ69" s="16" t="n">
        <v>1.82</v>
      </c>
      <c r="CA69" s="16" t="n">
        <v>26.2</v>
      </c>
      <c r="CB69" s="16" t="n">
        <v>110</v>
      </c>
      <c r="CC69" s="16" t="n">
        <v>114</v>
      </c>
      <c r="CD69" s="16" t="n">
        <v>73</v>
      </c>
      <c r="CE69" s="16" t="inlineStr">
        <is>
          <t>Sí</t>
        </is>
      </c>
      <c r="CF69" s="16" t="inlineStr">
        <is>
          <t>No</t>
        </is>
      </c>
      <c r="CG69" s="16" t="inlineStr">
        <is>
          <t>Sí</t>
        </is>
      </c>
      <c r="CH69" s="16" t="inlineStr">
        <is>
          <t>No</t>
        </is>
      </c>
      <c r="CI69" s="16" t="inlineStr">
        <is>
          <t>No</t>
        </is>
      </c>
      <c r="CJ69" s="16" t="inlineStr">
        <is>
          <t>No</t>
        </is>
      </c>
      <c r="CK69" s="16" t="inlineStr">
        <is>
          <t>No</t>
        </is>
      </c>
      <c r="CL69" s="16" t="inlineStr">
        <is>
          <t>Sí</t>
        </is>
      </c>
      <c r="CM69" s="16" t="inlineStr">
        <is>
          <t>07:27</t>
        </is>
      </c>
      <c r="CN69" s="16" t="inlineStr">
        <is>
          <t>Mate</t>
        </is>
      </c>
      <c r="CO69" s="16" t="inlineStr">
        <is>
          <t>13:30</t>
        </is>
      </c>
      <c r="CP69" s="16" t="n">
        <v>167</v>
      </c>
      <c r="CQ69" s="16" t="n">
        <v>363</v>
      </c>
      <c r="CR69" s="16" t="inlineStr">
        <is>
          <t>Sí</t>
        </is>
      </c>
      <c r="CS69" s="16" t="n">
        <v>8</v>
      </c>
      <c r="CT69" s="16" t="inlineStr">
        <is>
          <t>Ligeramente elevado</t>
        </is>
      </c>
      <c r="CU69" s="16" t="inlineStr">
        <is>
          <t>4 %</t>
        </is>
      </c>
      <c r="CV69" s="16" t="inlineStr">
        <is>
          <t>Sí</t>
        </is>
      </c>
      <c r="CW69" s="16" t="n">
        <v>4</v>
      </c>
      <c r="CX69" s="16" t="inlineStr">
        <is>
          <t>1</t>
        </is>
      </c>
      <c r="CY69" s="16" t="inlineStr">
        <is>
          <t>Bajo</t>
        </is>
      </c>
    </row>
    <row r="70">
      <c r="A70" s="16" t="inlineStr">
        <is>
          <t>demo-69</t>
        </is>
      </c>
      <c r="B70" s="16" t="inlineStr">
        <is>
          <t>C1-0069</t>
        </is>
      </c>
      <c r="C70" s="16" t="inlineStr">
        <is>
          <t>468-42-4630</t>
        </is>
      </c>
      <c r="D70" s="16" t="n">
        <v>468</v>
      </c>
      <c r="E70" s="16" t="n">
        <v>42</v>
      </c>
      <c r="F70" s="16" t="inlineStr">
        <is>
          <t>4630</t>
        </is>
      </c>
      <c r="G70" s="17" t="n">
        <v>46301</v>
      </c>
      <c r="H70" s="16" t="inlineStr">
        <is>
          <t>14:05</t>
        </is>
      </c>
      <c r="J70" s="16" t="inlineStr">
        <is>
          <t>C</t>
        </is>
      </c>
      <c r="K70" s="16" t="inlineStr">
        <is>
          <t>1</t>
        </is>
      </c>
      <c r="L70" s="16" t="inlineStr">
        <is>
          <t>Encuestador C</t>
        </is>
      </c>
      <c r="M70" s="16" t="inlineStr">
        <is>
          <t>Puesto 1</t>
        </is>
      </c>
      <c r="N70" s="16" t="inlineStr">
        <is>
          <t>Sí</t>
        </is>
      </c>
      <c r="O70" s="16" t="inlineStr">
        <is>
          <t>No</t>
        </is>
      </c>
      <c r="P70" s="16" t="n">
        <v>38</v>
      </c>
      <c r="Q70" s="16" t="inlineStr">
        <is>
          <t>Sí</t>
        </is>
      </c>
      <c r="R70" s="16" t="inlineStr">
        <is>
          <t>Sí</t>
        </is>
      </c>
      <c r="S70" s="16" t="inlineStr">
        <is>
          <t>Sí</t>
        </is>
      </c>
      <c r="T70" s="16" t="inlineStr">
        <is>
          <t>finalizado</t>
        </is>
      </c>
      <c r="U70" s="16" t="inlineStr">
        <is>
          <t>2026-10-v2</t>
        </is>
      </c>
      <c r="V70" s="16" t="inlineStr">
        <is>
          <t>2026-10-06T15:00:00.000Z</t>
        </is>
      </c>
      <c r="W70" s="16" t="inlineStr">
        <is>
          <t>Argentina</t>
        </is>
      </c>
      <c r="Y70" s="16" t="inlineStr">
        <is>
          <t>Universitario incompleto</t>
        </is>
      </c>
      <c r="Z70" s="16" t="inlineStr">
        <is>
          <t>Sí</t>
        </is>
      </c>
      <c r="AA70" s="16" t="inlineStr">
        <is>
          <t>5</t>
        </is>
      </c>
      <c r="AB70" s="16" t="inlineStr">
        <is>
          <t>5</t>
        </is>
      </c>
      <c r="AC70" s="16" t="inlineStr">
        <is>
          <t>Inglés</t>
        </is>
      </c>
      <c r="AE70" s="16" t="inlineStr">
        <is>
          <t>Español</t>
        </is>
      </c>
      <c r="AG70" s="16" t="inlineStr">
        <is>
          <t>Argentina</t>
        </is>
      </c>
      <c r="AI70" s="16" t="inlineStr">
        <is>
          <t>Malo</t>
        </is>
      </c>
      <c r="AJ70" s="16" t="n">
        <v>5</v>
      </c>
      <c r="AK70" s="16" t="inlineStr">
        <is>
          <t>Viaje internacional</t>
        </is>
      </c>
      <c r="AL70" s="16" t="inlineStr">
        <is>
          <t>Una vez a la semana</t>
        </is>
      </c>
      <c r="AN70" s="16" t="inlineStr">
        <is>
          <t>3 veces por semana</t>
        </is>
      </c>
      <c r="AP70" s="16" t="inlineStr">
        <is>
          <t>Empleado</t>
        </is>
      </c>
      <c r="AR70" s="16" t="inlineStr">
        <is>
          <t>Parcialmente conforme</t>
        </is>
      </c>
      <c r="AS70" s="16" t="inlineStr">
        <is>
          <t>Sí</t>
        </is>
      </c>
      <c r="AT70" s="16" t="n">
        <v>3.4</v>
      </c>
      <c r="AU70" s="16" t="inlineStr">
        <is>
          <t>Sí</t>
        </is>
      </c>
      <c r="AV70" s="16" t="inlineStr">
        <is>
          <t>En el camión al costado de la ruta</t>
        </is>
      </c>
      <c r="AX70" s="16" t="n">
        <v>4.7</v>
      </c>
      <c r="AY70" s="16" t="inlineStr">
        <is>
          <t>Varias veces por semana</t>
        </is>
      </c>
      <c r="AZ70" s="16" t="inlineStr">
        <is>
          <t>Café</t>
        </is>
      </c>
      <c r="BB70" s="16" t="inlineStr">
        <is>
          <t>Casi nunca</t>
        </is>
      </c>
      <c r="BC70" s="16" t="inlineStr">
        <is>
          <t>Algunas veces</t>
        </is>
      </c>
      <c r="BD70" s="16" t="inlineStr">
        <is>
          <t>No</t>
        </is>
      </c>
      <c r="BE70" s="16" t="inlineStr">
        <is>
          <t>No</t>
        </is>
      </c>
      <c r="BF70" s="16" t="inlineStr">
        <is>
          <t>Obra social; Prepaga</t>
        </is>
      </c>
      <c r="BG70" s="16" t="inlineStr">
        <is>
          <t>Sistema privado</t>
        </is>
      </c>
      <c r="BH70" s="16" t="inlineStr">
        <is>
          <t>Nunca</t>
        </is>
      </c>
      <c r="BI70" s="16" t="inlineStr">
        <is>
          <t>Sistema público</t>
        </is>
      </c>
      <c r="BJ70" s="16" t="inlineStr">
        <is>
          <t>Sí</t>
        </is>
      </c>
      <c r="BK70" s="16" t="inlineStr">
        <is>
          <t>Lumbar</t>
        </is>
      </c>
      <c r="BL70" s="16" t="inlineStr">
        <is>
          <t>Ninguno</t>
        </is>
      </c>
      <c r="BN70" s="16" t="inlineStr">
        <is>
          <t>Obesidad</t>
        </is>
      </c>
      <c r="BP70" s="16" t="inlineStr">
        <is>
          <t>Nunca</t>
        </is>
      </c>
      <c r="BQ70" s="16" t="inlineStr">
        <is>
          <t>Café</t>
        </is>
      </c>
      <c r="BS70" s="16" t="inlineStr">
        <is>
          <t>Sí</t>
        </is>
      </c>
      <c r="BT70" s="16" t="inlineStr">
        <is>
          <t>Sí</t>
        </is>
      </c>
      <c r="BU70" s="16" t="inlineStr">
        <is>
          <t>A veces</t>
        </is>
      </c>
      <c r="BV70" s="16" t="inlineStr">
        <is>
          <t>No</t>
        </is>
      </c>
      <c r="BW70" s="16" t="inlineStr">
        <is>
          <t>No</t>
        </is>
      </c>
      <c r="BX70" s="16" t="inlineStr">
        <is>
          <t>Varón</t>
        </is>
      </c>
      <c r="BY70" s="16" t="n">
        <v>66.2</v>
      </c>
      <c r="BZ70" s="16" t="n">
        <v>1.65</v>
      </c>
      <c r="CA70" s="16" t="n">
        <v>24.3</v>
      </c>
      <c r="CB70" s="16" t="n">
        <v>95</v>
      </c>
      <c r="CC70" s="16" t="n">
        <v>133</v>
      </c>
      <c r="CD70" s="16" t="n">
        <v>84</v>
      </c>
      <c r="CE70" s="16" t="inlineStr">
        <is>
          <t>No</t>
        </is>
      </c>
      <c r="CF70" s="16" t="inlineStr">
        <is>
          <t>No</t>
        </is>
      </c>
      <c r="CG70" s="16" t="inlineStr">
        <is>
          <t>Sí</t>
        </is>
      </c>
      <c r="CH70" s="16" t="inlineStr">
        <is>
          <t>No</t>
        </is>
      </c>
      <c r="CI70" s="16" t="inlineStr">
        <is>
          <t>No</t>
        </is>
      </c>
      <c r="CJ70" s="16" t="inlineStr">
        <is>
          <t>No</t>
        </is>
      </c>
      <c r="CK70" s="16" t="inlineStr">
        <is>
          <t>Sí</t>
        </is>
      </c>
      <c r="CL70" s="16" t="inlineStr">
        <is>
          <t>Sí</t>
        </is>
      </c>
      <c r="CM70" s="16" t="inlineStr">
        <is>
          <t>07:23</t>
        </is>
      </c>
      <c r="CN70" s="16" t="inlineStr">
        <is>
          <t>Mate</t>
        </is>
      </c>
      <c r="CO70" s="16" t="inlineStr">
        <is>
          <t>14:30</t>
        </is>
      </c>
      <c r="CP70" s="16" t="n">
        <v>100</v>
      </c>
      <c r="CQ70" s="16" t="n">
        <v>427</v>
      </c>
      <c r="CR70" s="16" t="inlineStr">
        <is>
          <t>Sí</t>
        </is>
      </c>
      <c r="CS70" s="16" t="n">
        <v>6</v>
      </c>
      <c r="CT70" s="16" t="inlineStr">
        <is>
          <t>Bajo</t>
        </is>
      </c>
      <c r="CU70" s="16" t="inlineStr">
        <is>
          <t>1 %</t>
        </is>
      </c>
      <c r="CV70" s="16" t="inlineStr">
        <is>
          <t>Sí</t>
        </is>
      </c>
      <c r="CW70" s="16" t="n">
        <v>6</v>
      </c>
      <c r="CX70" s="16" t="inlineStr">
        <is>
          <t>2</t>
        </is>
      </c>
      <c r="CY70" s="16" t="inlineStr">
        <is>
          <t>Bajo</t>
        </is>
      </c>
    </row>
    <row r="71">
      <c r="A71" s="16" t="inlineStr">
        <is>
          <t>demo-70</t>
        </is>
      </c>
      <c r="B71" s="16" t="inlineStr">
        <is>
          <t>A1-0070</t>
        </is>
      </c>
      <c r="C71" s="16" t="inlineStr">
        <is>
          <t>070-64-4630</t>
        </is>
      </c>
      <c r="D71" s="16" t="n">
        <v>70</v>
      </c>
      <c r="E71" s="16" t="n">
        <v>64</v>
      </c>
      <c r="F71" s="16" t="inlineStr">
        <is>
          <t>4630</t>
        </is>
      </c>
      <c r="G71" s="17" t="n">
        <v>46301</v>
      </c>
      <c r="H71" s="16" t="inlineStr">
        <is>
          <t>11:07</t>
        </is>
      </c>
      <c r="J71" s="16" t="inlineStr">
        <is>
          <t>A</t>
        </is>
      </c>
      <c r="K71" s="16" t="inlineStr">
        <is>
          <t>1</t>
        </is>
      </c>
      <c r="L71" s="16" t="inlineStr">
        <is>
          <t>Encuestador A</t>
        </is>
      </c>
      <c r="M71" s="16" t="inlineStr">
        <is>
          <t>Puesto 2</t>
        </is>
      </c>
      <c r="N71" s="16" t="inlineStr">
        <is>
          <t>Sí</t>
        </is>
      </c>
      <c r="O71" s="16" t="inlineStr">
        <is>
          <t>Sí</t>
        </is>
      </c>
      <c r="P71" s="16" t="n">
        <v>39</v>
      </c>
      <c r="Q71" s="16" t="inlineStr">
        <is>
          <t>Sí</t>
        </is>
      </c>
      <c r="R71" s="16" t="inlineStr">
        <is>
          <t>Sí</t>
        </is>
      </c>
      <c r="S71" s="16" t="inlineStr">
        <is>
          <t>Sí</t>
        </is>
      </c>
      <c r="T71" s="16" t="inlineStr">
        <is>
          <t>finalizado</t>
        </is>
      </c>
      <c r="U71" s="16" t="inlineStr">
        <is>
          <t>2026-10-v2</t>
        </is>
      </c>
      <c r="V71" s="16" t="inlineStr">
        <is>
          <t>2026-10-06T15:00:00.000Z</t>
        </is>
      </c>
      <c r="W71" s="16" t="inlineStr">
        <is>
          <t>Argentina</t>
        </is>
      </c>
      <c r="Y71" s="16" t="inlineStr">
        <is>
          <t>Secundaria completa</t>
        </is>
      </c>
      <c r="Z71" s="16" t="inlineStr">
        <is>
          <t>Sí</t>
        </is>
      </c>
      <c r="AA71" s="16" t="inlineStr">
        <is>
          <t>Más de 5</t>
        </is>
      </c>
      <c r="AB71" s="16" t="inlineStr">
        <is>
          <t>1</t>
        </is>
      </c>
      <c r="AC71" s="16" t="inlineStr">
        <is>
          <t>Español</t>
        </is>
      </c>
      <c r="AE71" s="16" t="inlineStr">
        <is>
          <t>Español</t>
        </is>
      </c>
      <c r="AG71" s="16" t="inlineStr">
        <is>
          <t>Argentina</t>
        </is>
      </c>
      <c r="AI71" s="16" t="inlineStr">
        <is>
          <t>Regular</t>
        </is>
      </c>
      <c r="AJ71" s="16" t="n">
        <v>28</v>
      </c>
      <c r="AK71" s="16" t="inlineStr">
        <is>
          <t>Viaje interprovincial</t>
        </is>
      </c>
      <c r="AL71" s="16" t="inlineStr">
        <is>
          <t>Una vez al mes</t>
        </is>
      </c>
      <c r="AN71" s="16" t="inlineStr">
        <is>
          <t>2 veces por semana</t>
        </is>
      </c>
      <c r="AP71" s="16" t="inlineStr">
        <is>
          <t>Empleado</t>
        </is>
      </c>
      <c r="AR71" s="16" t="inlineStr">
        <is>
          <t>Disconforme</t>
        </is>
      </c>
      <c r="AS71" s="16" t="inlineStr">
        <is>
          <t>No</t>
        </is>
      </c>
      <c r="AT71" s="16" t="n">
        <v>7.5</v>
      </c>
      <c r="AU71" s="16" t="inlineStr">
        <is>
          <t>Sí</t>
        </is>
      </c>
      <c r="AV71" s="16" t="inlineStr">
        <is>
          <t>En el camión al costado de la ruta</t>
        </is>
      </c>
      <c r="AX71" s="16" t="n">
        <v>6.1</v>
      </c>
      <c r="AY71" s="16" t="inlineStr">
        <is>
          <t>Casi nunca</t>
        </is>
      </c>
      <c r="AZ71" s="16" t="inlineStr">
        <is>
          <t>Café; Agua; Gaseosas</t>
        </is>
      </c>
      <c r="BB71" s="16" t="inlineStr">
        <is>
          <t>Sí, siempre</t>
        </is>
      </c>
      <c r="BC71" s="16" t="inlineStr">
        <is>
          <t>Rara vez</t>
        </is>
      </c>
      <c r="BD71" s="16" t="inlineStr">
        <is>
          <t>No</t>
        </is>
      </c>
      <c r="BE71" s="16" t="inlineStr">
        <is>
          <t>Sí</t>
        </is>
      </c>
      <c r="BF71" s="16" t="inlineStr">
        <is>
          <t>Obra social</t>
        </is>
      </c>
      <c r="BG71" s="16" t="inlineStr">
        <is>
          <t>Ninguno</t>
        </is>
      </c>
      <c r="BH71" s="16" t="inlineStr">
        <is>
          <t>Una vez al año</t>
        </is>
      </c>
      <c r="BI71" s="16" t="inlineStr">
        <is>
          <t>Sistema público; Otros (medicina tradicional, alternativa, etc.)</t>
        </is>
      </c>
      <c r="BJ71" s="16" t="inlineStr">
        <is>
          <t>Sí</t>
        </is>
      </c>
      <c r="BK71" s="16" t="inlineStr">
        <is>
          <t>Rodillas</t>
        </is>
      </c>
      <c r="BL71" s="16" t="inlineStr">
        <is>
          <t>Medicamentos</t>
        </is>
      </c>
      <c r="BM71" s="16" t="inlineStr">
        <is>
          <t>Ibuprofeno</t>
        </is>
      </c>
      <c r="BN71" s="16" t="inlineStr">
        <is>
          <t>No tengo diagnóstico de enfermedad</t>
        </is>
      </c>
      <c r="BP71" s="16" t="inlineStr">
        <is>
          <t>Una vez a la semana</t>
        </is>
      </c>
      <c r="BQ71" s="16" t="inlineStr">
        <is>
          <t>Café; Coca-Cola</t>
        </is>
      </c>
      <c r="BS71" s="16" t="inlineStr">
        <is>
          <t>No</t>
        </is>
      </c>
      <c r="BT71" s="16" t="inlineStr">
        <is>
          <t>Sí</t>
        </is>
      </c>
      <c r="BU71" s="16" t="inlineStr">
        <is>
          <t>A veces</t>
        </is>
      </c>
      <c r="BV71" s="16" t="inlineStr">
        <is>
          <t>Sí</t>
        </is>
      </c>
      <c r="BW71" s="16" t="inlineStr">
        <is>
          <t>No</t>
        </is>
      </c>
      <c r="BX71" s="16" t="inlineStr">
        <is>
          <t>Varón</t>
        </is>
      </c>
      <c r="BY71" s="16" t="n">
        <v>87.90000000000001</v>
      </c>
      <c r="BZ71" s="16" t="n">
        <v>1.86</v>
      </c>
      <c r="CA71" s="16" t="n">
        <v>25.4</v>
      </c>
      <c r="CB71" s="16" t="n">
        <v>112</v>
      </c>
      <c r="CC71" s="16" t="n">
        <v>135</v>
      </c>
      <c r="CD71" s="16" t="n">
        <v>86</v>
      </c>
      <c r="CE71" s="16" t="inlineStr">
        <is>
          <t>Sí</t>
        </is>
      </c>
      <c r="CF71" s="16" t="inlineStr">
        <is>
          <t>No</t>
        </is>
      </c>
      <c r="CG71" s="16" t="inlineStr">
        <is>
          <t>No</t>
        </is>
      </c>
      <c r="CH71" s="16" t="inlineStr">
        <is>
          <t>No</t>
        </is>
      </c>
      <c r="CI71" s="16" t="inlineStr">
        <is>
          <t>Sí</t>
        </is>
      </c>
      <c r="CJ71" s="16" t="inlineStr">
        <is>
          <t>No</t>
        </is>
      </c>
      <c r="CK71" s="16" t="inlineStr">
        <is>
          <t>No</t>
        </is>
      </c>
      <c r="CL71" s="16" t="inlineStr">
        <is>
          <t>Sí</t>
        </is>
      </c>
      <c r="CM71" s="16" t="inlineStr">
        <is>
          <t>07:40</t>
        </is>
      </c>
      <c r="CN71" s="16" t="inlineStr">
        <is>
          <t>Mate</t>
        </is>
      </c>
      <c r="CO71" s="16" t="inlineStr">
        <is>
          <t>12:30</t>
        </is>
      </c>
      <c r="CP71" s="16" t="n">
        <v>145</v>
      </c>
      <c r="CQ71" s="16" t="n">
        <v>290</v>
      </c>
      <c r="CR71" s="16" t="inlineStr">
        <is>
          <t>Sí</t>
        </is>
      </c>
      <c r="CS71" s="16" t="n">
        <v>14</v>
      </c>
      <c r="CT71" s="16" t="inlineStr">
        <is>
          <t>Moderado</t>
        </is>
      </c>
      <c r="CU71" s="16" t="inlineStr">
        <is>
          <t>17 %</t>
        </is>
      </c>
      <c r="CV71" s="16" t="inlineStr">
        <is>
          <t>Sí</t>
        </is>
      </c>
      <c r="CW71" s="16" t="n">
        <v>12</v>
      </c>
      <c r="CX71" s="16" t="inlineStr">
        <is>
          <t>10</t>
        </is>
      </c>
      <c r="CY71" s="16" t="inlineStr">
        <is>
          <t>Moderado</t>
        </is>
      </c>
    </row>
    <row r="72">
      <c r="A72" s="16" t="inlineStr">
        <is>
          <t>demo-71</t>
        </is>
      </c>
      <c r="B72" s="16" t="inlineStr">
        <is>
          <t>A1-0071</t>
        </is>
      </c>
      <c r="C72" s="16" t="inlineStr">
        <is>
          <t>071-63-4630</t>
        </is>
      </c>
      <c r="D72" s="16" t="n">
        <v>71</v>
      </c>
      <c r="E72" s="16" t="n">
        <v>63</v>
      </c>
      <c r="F72" s="16" t="inlineStr">
        <is>
          <t>4630</t>
        </is>
      </c>
      <c r="G72" s="17" t="n">
        <v>46294</v>
      </c>
      <c r="H72" s="16" t="inlineStr">
        <is>
          <t>17:06</t>
        </is>
      </c>
      <c r="J72" s="16" t="inlineStr">
        <is>
          <t>A</t>
        </is>
      </c>
      <c r="K72" s="16" t="inlineStr">
        <is>
          <t>1</t>
        </is>
      </c>
      <c r="L72" s="16" t="inlineStr">
        <is>
          <t>Encuestador A</t>
        </is>
      </c>
      <c r="M72" s="16" t="inlineStr">
        <is>
          <t>Puesto 2</t>
        </is>
      </c>
      <c r="N72" s="16" t="inlineStr">
        <is>
          <t>Sí</t>
        </is>
      </c>
      <c r="O72" s="16" t="inlineStr">
        <is>
          <t>No</t>
        </is>
      </c>
      <c r="P72" s="16" t="n">
        <v>39</v>
      </c>
      <c r="Q72" s="16" t="inlineStr">
        <is>
          <t>Sí</t>
        </is>
      </c>
      <c r="R72" s="16" t="inlineStr">
        <is>
          <t>Sí</t>
        </is>
      </c>
      <c r="S72" s="16" t="inlineStr">
        <is>
          <t>Sí</t>
        </is>
      </c>
      <c r="T72" s="16" t="inlineStr">
        <is>
          <t>borrador</t>
        </is>
      </c>
      <c r="U72" s="16" t="inlineStr">
        <is>
          <t>2026-10-v2</t>
        </is>
      </c>
      <c r="V72" s="16" t="inlineStr">
        <is>
          <t>2026-09-29T15:00:00.000Z</t>
        </is>
      </c>
      <c r="W72" s="16" t="inlineStr">
        <is>
          <t>Argentina</t>
        </is>
      </c>
      <c r="Y72" s="16" t="inlineStr">
        <is>
          <t>Secundaria completa</t>
        </is>
      </c>
      <c r="Z72" s="16" t="inlineStr">
        <is>
          <t>Sí</t>
        </is>
      </c>
      <c r="AA72" s="16" t="inlineStr">
        <is>
          <t>4</t>
        </is>
      </c>
      <c r="AB72" s="16" t="inlineStr">
        <is>
          <t>1</t>
        </is>
      </c>
      <c r="AC72" s="16" t="inlineStr">
        <is>
          <t>Español</t>
        </is>
      </c>
      <c r="AE72" s="16" t="inlineStr">
        <is>
          <t>Español</t>
        </is>
      </c>
      <c r="AG72" s="16" t="inlineStr">
        <is>
          <t>Argentina</t>
        </is>
      </c>
      <c r="AI72" s="16" t="inlineStr">
        <is>
          <t>Muy malo</t>
        </is>
      </c>
      <c r="AJ72" s="16" t="n">
        <v>26</v>
      </c>
      <c r="AK72" s="16" t="inlineStr">
        <is>
          <t>Viaje interprovincial</t>
        </is>
      </c>
      <c r="AL72" s="16" t="inlineStr">
        <is>
          <t>2 veces por semana</t>
        </is>
      </c>
      <c r="AN72" s="16" t="inlineStr">
        <is>
          <t>Una vez a la semana</t>
        </is>
      </c>
      <c r="AP72" s="16" t="inlineStr">
        <is>
          <t>Empleado</t>
        </is>
      </c>
      <c r="AR72" s="16" t="inlineStr">
        <is>
          <t>Conforme</t>
        </is>
      </c>
      <c r="AS72" s="16" t="inlineStr">
        <is>
          <t>No</t>
        </is>
      </c>
      <c r="AT72" s="16" t="n">
        <v>7.4</v>
      </c>
      <c r="AU72" s="16" t="inlineStr">
        <is>
          <t>Sí</t>
        </is>
      </c>
      <c r="AV72" s="16" t="inlineStr">
        <is>
          <t>Paradores; Estaciones de servicio</t>
        </is>
      </c>
      <c r="AX72" s="16" t="n">
        <v>4.5</v>
      </c>
      <c r="AY72" s="16" t="inlineStr">
        <is>
          <t>Varias veces por semana</t>
        </is>
      </c>
      <c r="AZ72" s="16" t="inlineStr">
        <is>
          <t>Café</t>
        </is>
      </c>
      <c r="BB72" s="16" t="inlineStr">
        <is>
          <t>A veces</t>
        </is>
      </c>
      <c r="BC72" s="16" t="inlineStr">
        <is>
          <t>No</t>
        </is>
      </c>
      <c r="BD72" s="16" t="inlineStr">
        <is>
          <t>No</t>
        </is>
      </c>
      <c r="BE72" s="16" t="inlineStr">
        <is>
          <t>Parcialmente</t>
        </is>
      </c>
      <c r="BF72" s="16" t="inlineStr">
        <is>
          <t>Obra social</t>
        </is>
      </c>
      <c r="BG72" s="16" t="inlineStr">
        <is>
          <t>Sistema privado</t>
        </is>
      </c>
      <c r="BH72" s="16" t="inlineStr">
        <is>
          <t>Nunca</t>
        </is>
      </c>
      <c r="BI72" s="16" t="inlineStr">
        <is>
          <t>Sistema público; Otros (medicina tradicional, alternativa, etc.)</t>
        </is>
      </c>
      <c r="BJ72" s="16" t="inlineStr">
        <is>
          <t>No</t>
        </is>
      </c>
      <c r="BL72" s="16" t="inlineStr">
        <is>
          <t>Medicamentos; Hierbas</t>
        </is>
      </c>
      <c r="BM72" s="16" t="inlineStr">
        <is>
          <t>Ibuprofeno</t>
        </is>
      </c>
      <c r="BN72" s="16" t="inlineStr">
        <is>
          <t>Obesidad</t>
        </is>
      </c>
      <c r="BP72" s="16" t="inlineStr">
        <is>
          <t>Nunca</t>
        </is>
      </c>
      <c r="BQ72" s="16" t="inlineStr">
        <is>
          <t>Energizantes (Speed, Monster, Red Bull, etc.)</t>
        </is>
      </c>
      <c r="BS72" s="16" t="inlineStr">
        <is>
          <t>Sí</t>
        </is>
      </c>
      <c r="BT72" s="16" t="inlineStr">
        <is>
          <t>No</t>
        </is>
      </c>
      <c r="BU72" s="16" t="inlineStr">
        <is>
          <t>Siempre</t>
        </is>
      </c>
      <c r="BV72" s="16" t="inlineStr">
        <is>
          <t>Sí</t>
        </is>
      </c>
      <c r="BW72" s="16" t="inlineStr">
        <is>
          <t>No</t>
        </is>
      </c>
      <c r="BX72" s="16" t="inlineStr">
        <is>
          <t>Varón</t>
        </is>
      </c>
      <c r="BY72" s="16" t="n">
        <v>110.5</v>
      </c>
      <c r="BZ72" s="16" t="n">
        <v>1.87</v>
      </c>
      <c r="CA72" s="16" t="n">
        <v>31.6</v>
      </c>
      <c r="CB72" s="16" t="n">
        <v>84</v>
      </c>
      <c r="CC72" s="16" t="n">
        <v>115</v>
      </c>
      <c r="CD72" s="16" t="n">
        <v>73</v>
      </c>
      <c r="CE72" s="16" t="inlineStr">
        <is>
          <t>No</t>
        </is>
      </c>
      <c r="CF72" s="16" t="inlineStr">
        <is>
          <t>No</t>
        </is>
      </c>
      <c r="CG72" s="16" t="inlineStr">
        <is>
          <t>No</t>
        </is>
      </c>
      <c r="CH72" s="16" t="inlineStr">
        <is>
          <t>Sí</t>
        </is>
      </c>
      <c r="CI72" s="16" t="inlineStr">
        <is>
          <t>No</t>
        </is>
      </c>
      <c r="CJ72" s="16" t="inlineStr">
        <is>
          <t>No</t>
        </is>
      </c>
      <c r="CK72" s="16" t="inlineStr">
        <is>
          <t>No</t>
        </is>
      </c>
      <c r="CL72" s="16" t="inlineStr">
        <is>
          <t>Sí</t>
        </is>
      </c>
      <c r="CM72" s="16" t="inlineStr">
        <is>
          <t>07:22</t>
        </is>
      </c>
      <c r="CN72" s="16" t="inlineStr">
        <is>
          <t>Mate</t>
        </is>
      </c>
      <c r="CO72" s="16" t="inlineStr">
        <is>
          <t>10:30</t>
        </is>
      </c>
      <c r="CP72" s="16" t="n">
        <v>111</v>
      </c>
      <c r="CQ72" s="16" t="n">
        <v>188</v>
      </c>
      <c r="CR72" s="16" t="inlineStr">
        <is>
          <t>Sí</t>
        </is>
      </c>
      <c r="CS72" s="16" t="n">
        <v>11</v>
      </c>
      <c r="CT72" s="16" t="inlineStr">
        <is>
          <t>Ligeramente elevado</t>
        </is>
      </c>
      <c r="CU72" s="16" t="inlineStr">
        <is>
          <t>4 %</t>
        </is>
      </c>
      <c r="CV72" s="16" t="inlineStr">
        <is>
          <t>Sí</t>
        </is>
      </c>
      <c r="CW72" s="16" t="n">
        <v>12</v>
      </c>
      <c r="CX72" s="16" t="inlineStr">
        <is>
          <t>10</t>
        </is>
      </c>
      <c r="CY72" s="16" t="inlineStr">
        <is>
          <t>Moderado</t>
        </is>
      </c>
    </row>
    <row r="73">
      <c r="A73" s="16" t="inlineStr">
        <is>
          <t>demo-72</t>
        </is>
      </c>
      <c r="B73" s="16" t="inlineStr">
        <is>
          <t>C1-0072</t>
        </is>
      </c>
      <c r="C73" s="16" t="inlineStr">
        <is>
          <t>471-60-4400</t>
        </is>
      </c>
      <c r="D73" s="16" t="n">
        <v>471</v>
      </c>
      <c r="E73" s="16" t="n">
        <v>60</v>
      </c>
      <c r="F73" s="16" t="inlineStr">
        <is>
          <t>4400</t>
        </is>
      </c>
      <c r="G73" s="17" t="n">
        <v>46295</v>
      </c>
      <c r="H73" s="16" t="inlineStr">
        <is>
          <t>13:08</t>
        </is>
      </c>
      <c r="J73" s="16" t="inlineStr">
        <is>
          <t>C</t>
        </is>
      </c>
      <c r="K73" s="16" t="inlineStr">
        <is>
          <t>1</t>
        </is>
      </c>
      <c r="L73" s="16" t="inlineStr">
        <is>
          <t>Encuestador C</t>
        </is>
      </c>
      <c r="M73" s="16" t="inlineStr">
        <is>
          <t>Puesto 2</t>
        </is>
      </c>
      <c r="N73" s="16" t="inlineStr">
        <is>
          <t>Sí</t>
        </is>
      </c>
      <c r="O73" s="16" t="inlineStr">
        <is>
          <t>No</t>
        </is>
      </c>
      <c r="P73" s="16" t="n">
        <v>39</v>
      </c>
      <c r="Q73" s="16" t="inlineStr">
        <is>
          <t>Sí</t>
        </is>
      </c>
      <c r="R73" s="16" t="inlineStr">
        <is>
          <t>Sí</t>
        </is>
      </c>
      <c r="S73" s="16" t="inlineStr">
        <is>
          <t>Sí</t>
        </is>
      </c>
      <c r="T73" s="16" t="inlineStr">
        <is>
          <t>finalizado</t>
        </is>
      </c>
      <c r="U73" s="16" t="inlineStr">
        <is>
          <t>2026-10-v2</t>
        </is>
      </c>
      <c r="V73" s="16" t="inlineStr">
        <is>
          <t>2026-09-30T15:00:00.000Z</t>
        </is>
      </c>
      <c r="W73" s="16" t="inlineStr">
        <is>
          <t>Argentina</t>
        </is>
      </c>
      <c r="Y73" s="16" t="inlineStr">
        <is>
          <t>Terciario incompleto</t>
        </is>
      </c>
      <c r="Z73" s="16" t="inlineStr">
        <is>
          <t>Sí</t>
        </is>
      </c>
      <c r="AA73" s="16" t="inlineStr">
        <is>
          <t>5</t>
        </is>
      </c>
      <c r="AB73" s="16" t="inlineStr">
        <is>
          <t>4</t>
        </is>
      </c>
      <c r="AC73" s="16" t="inlineStr">
        <is>
          <t>Inglés; Portugués</t>
        </is>
      </c>
      <c r="AE73" s="16" t="inlineStr">
        <is>
          <t>Español</t>
        </is>
      </c>
      <c r="AG73" s="16" t="inlineStr">
        <is>
          <t>Argentina</t>
        </is>
      </c>
      <c r="AI73" s="16" t="inlineStr">
        <is>
          <t>Regular</t>
        </is>
      </c>
      <c r="AJ73" s="16" t="n">
        <v>30</v>
      </c>
      <c r="AK73" s="16" t="inlineStr">
        <is>
          <t>Viaje interprovincial</t>
        </is>
      </c>
      <c r="AL73" s="16" t="inlineStr">
        <is>
          <t>Una vez a la semana</t>
        </is>
      </c>
      <c r="AN73" s="16" t="inlineStr">
        <is>
          <t>3 veces por semana</t>
        </is>
      </c>
      <c r="AP73" s="16" t="inlineStr">
        <is>
          <t>Empleado</t>
        </is>
      </c>
      <c r="AR73" s="16" t="inlineStr">
        <is>
          <t>Conforme</t>
        </is>
      </c>
      <c r="AS73" s="16" t="inlineStr">
        <is>
          <t>No</t>
        </is>
      </c>
      <c r="AT73" s="16" t="n">
        <v>8.5</v>
      </c>
      <c r="AU73" s="16" t="inlineStr">
        <is>
          <t>Sí</t>
        </is>
      </c>
      <c r="AV73" s="16" t="inlineStr">
        <is>
          <t>En el camión al costado de la ruta</t>
        </is>
      </c>
      <c r="AX73" s="16" t="n">
        <v>6.5</v>
      </c>
      <c r="AY73" s="16" t="inlineStr">
        <is>
          <t>Todos los días</t>
        </is>
      </c>
      <c r="AZ73" s="16" t="inlineStr">
        <is>
          <t>Café; Agua</t>
        </is>
      </c>
      <c r="BB73" s="16" t="inlineStr">
        <is>
          <t>Casi nunca</t>
        </is>
      </c>
      <c r="BC73" s="16" t="inlineStr">
        <is>
          <t>Rara vez</t>
        </is>
      </c>
      <c r="BD73" s="16" t="inlineStr">
        <is>
          <t>No</t>
        </is>
      </c>
      <c r="BE73" s="16" t="inlineStr">
        <is>
          <t>Parcialmente</t>
        </is>
      </c>
      <c r="BF73" s="16" t="inlineStr">
        <is>
          <t>Obra social</t>
        </is>
      </c>
      <c r="BG73" s="16" t="inlineStr">
        <is>
          <t>Ninguno</t>
        </is>
      </c>
      <c r="BH73" s="16" t="inlineStr">
        <is>
          <t>2 veces al año</t>
        </is>
      </c>
      <c r="BI73" s="16" t="inlineStr">
        <is>
          <t>Sistema privado</t>
        </is>
      </c>
      <c r="BJ73" s="16" t="inlineStr">
        <is>
          <t>No</t>
        </is>
      </c>
      <c r="BL73" s="16" t="inlineStr">
        <is>
          <t>Medicamentos</t>
        </is>
      </c>
      <c r="BM73" s="16" t="inlineStr">
        <is>
          <t>Ibuprofeno</t>
        </is>
      </c>
      <c r="BN73" s="16" t="inlineStr">
        <is>
          <t>Obesidad</t>
        </is>
      </c>
      <c r="BP73" s="16" t="inlineStr">
        <is>
          <t>Una vez a la semana</t>
        </is>
      </c>
      <c r="BQ73" s="16" t="inlineStr">
        <is>
          <t>No</t>
        </is>
      </c>
      <c r="BS73" s="16" t="inlineStr">
        <is>
          <t>Sí</t>
        </is>
      </c>
      <c r="BT73" s="16" t="inlineStr">
        <is>
          <t>Sí</t>
        </is>
      </c>
      <c r="BU73" s="16" t="inlineStr">
        <is>
          <t>Siempre</t>
        </is>
      </c>
      <c r="BV73" s="16" t="inlineStr">
        <is>
          <t>Sí</t>
        </is>
      </c>
      <c r="BW73" s="16" t="inlineStr">
        <is>
          <t>No</t>
        </is>
      </c>
      <c r="BX73" s="16" t="inlineStr">
        <is>
          <t>Varón</t>
        </is>
      </c>
      <c r="BY73" s="16" t="n">
        <v>86</v>
      </c>
      <c r="BZ73" s="16" t="n">
        <v>1.71</v>
      </c>
      <c r="CA73" s="16" t="n">
        <v>29.4</v>
      </c>
      <c r="CB73" s="16" t="n">
        <v>83</v>
      </c>
      <c r="CC73" s="16" t="n">
        <v>114</v>
      </c>
      <c r="CD73" s="16" t="n">
        <v>73</v>
      </c>
      <c r="CE73" s="16" t="inlineStr">
        <is>
          <t>No</t>
        </is>
      </c>
      <c r="CF73" s="16" t="inlineStr">
        <is>
          <t>No</t>
        </is>
      </c>
      <c r="CG73" s="16" t="inlineStr">
        <is>
          <t>Sí</t>
        </is>
      </c>
      <c r="CH73" s="16" t="inlineStr">
        <is>
          <t>No</t>
        </is>
      </c>
      <c r="CI73" s="16" t="inlineStr">
        <is>
          <t>No</t>
        </is>
      </c>
      <c r="CJ73" s="16" t="inlineStr">
        <is>
          <t>No</t>
        </is>
      </c>
      <c r="CK73" s="16" t="inlineStr">
        <is>
          <t>No</t>
        </is>
      </c>
      <c r="CL73" s="16" t="inlineStr">
        <is>
          <t>Sí</t>
        </is>
      </c>
      <c r="CM73" s="16" t="inlineStr">
        <is>
          <t>07:31</t>
        </is>
      </c>
      <c r="CN73" s="16" t="inlineStr">
        <is>
          <t>Mate</t>
        </is>
      </c>
      <c r="CO73" s="16" t="inlineStr">
        <is>
          <t>10:30</t>
        </is>
      </c>
      <c r="CP73" s="16" t="n">
        <v>170</v>
      </c>
      <c r="CQ73" s="16" t="n">
        <v>179</v>
      </c>
      <c r="CR73" s="16" t="inlineStr">
        <is>
          <t>Sí</t>
        </is>
      </c>
      <c r="CS73" s="16" t="n">
        <v>7</v>
      </c>
      <c r="CT73" s="16" t="inlineStr">
        <is>
          <t>Ligeramente elevado</t>
        </is>
      </c>
      <c r="CU73" s="16" t="inlineStr">
        <is>
          <t>4 %</t>
        </is>
      </c>
      <c r="CV73" s="16" t="inlineStr">
        <is>
          <t>Sí</t>
        </is>
      </c>
      <c r="CW73" s="16" t="n">
        <v>11</v>
      </c>
      <c r="CX73" s="16" t="inlineStr">
        <is>
          <t>8</t>
        </is>
      </c>
      <c r="CY73" s="16" t="inlineStr">
        <is>
          <t>Bajo</t>
        </is>
      </c>
    </row>
    <row r="74">
      <c r="A74" s="16" t="inlineStr">
        <is>
          <t>demo-73</t>
        </is>
      </c>
      <c r="B74" s="16" t="inlineStr">
        <is>
          <t>C1-0073</t>
        </is>
      </c>
      <c r="C74" s="16" t="inlineStr">
        <is>
          <t>472-42-4630</t>
        </is>
      </c>
      <c r="D74" s="16" t="n">
        <v>472</v>
      </c>
      <c r="E74" s="16" t="n">
        <v>42</v>
      </c>
      <c r="F74" s="16" t="inlineStr">
        <is>
          <t>4630</t>
        </is>
      </c>
      <c r="G74" s="17" t="n">
        <v>46295</v>
      </c>
      <c r="H74" s="16" t="inlineStr">
        <is>
          <t>15:00</t>
        </is>
      </c>
      <c r="J74" s="16" t="inlineStr">
        <is>
          <t>C</t>
        </is>
      </c>
      <c r="K74" s="16" t="inlineStr">
        <is>
          <t>1</t>
        </is>
      </c>
      <c r="L74" s="16" t="inlineStr">
        <is>
          <t>Encuestador C</t>
        </is>
      </c>
      <c r="M74" s="16" t="inlineStr">
        <is>
          <t>Puesto 2</t>
        </is>
      </c>
      <c r="N74" s="16" t="inlineStr">
        <is>
          <t>Sí</t>
        </is>
      </c>
      <c r="O74" s="16" t="inlineStr">
        <is>
          <t>No</t>
        </is>
      </c>
      <c r="P74" s="16" t="n">
        <v>38</v>
      </c>
      <c r="Q74" s="16" t="inlineStr">
        <is>
          <t>Sí</t>
        </is>
      </c>
      <c r="R74" s="16" t="inlineStr">
        <is>
          <t>Sí</t>
        </is>
      </c>
      <c r="S74" s="16" t="inlineStr">
        <is>
          <t>No</t>
        </is>
      </c>
      <c r="T74" s="16" t="inlineStr">
        <is>
          <t>finalizado</t>
        </is>
      </c>
      <c r="U74" s="16" t="inlineStr">
        <is>
          <t>2026-10-v2</t>
        </is>
      </c>
      <c r="V74" s="16" t="inlineStr">
        <is>
          <t>2026-09-30T15:00:00.000Z</t>
        </is>
      </c>
      <c r="W74" s="16" t="inlineStr">
        <is>
          <t>Chile</t>
        </is>
      </c>
      <c r="Y74" s="16" t="inlineStr">
        <is>
          <t>Secundaria completa</t>
        </is>
      </c>
      <c r="Z74" s="16" t="inlineStr">
        <is>
          <t>Sí</t>
        </is>
      </c>
      <c r="AA74" s="16" t="inlineStr">
        <is>
          <t>2</t>
        </is>
      </c>
      <c r="AB74" s="16" t="inlineStr">
        <is>
          <t>4</t>
        </is>
      </c>
      <c r="AC74" s="16" t="inlineStr">
        <is>
          <t>Guaraní</t>
        </is>
      </c>
      <c r="AE74" s="16" t="inlineStr">
        <is>
          <t>Español</t>
        </is>
      </c>
      <c r="AG74" s="16" t="inlineStr">
        <is>
          <t>Argentina</t>
        </is>
      </c>
      <c r="AI74" s="16" t="inlineStr">
        <is>
          <t>Regular</t>
        </is>
      </c>
      <c r="AJ74" s="16" t="n">
        <v>14</v>
      </c>
      <c r="AK74" s="16" t="inlineStr">
        <is>
          <t>Viaje interprovincial</t>
        </is>
      </c>
      <c r="AL74" s="16" t="inlineStr">
        <is>
          <t>2 veces por semana</t>
        </is>
      </c>
      <c r="AN74" s="16" t="inlineStr">
        <is>
          <t>2 veces por semana</t>
        </is>
      </c>
      <c r="AP74" s="16" t="inlineStr">
        <is>
          <t>Empleado</t>
        </is>
      </c>
      <c r="AR74" s="16" t="inlineStr">
        <is>
          <t>Conforme</t>
        </is>
      </c>
      <c r="AS74" s="16" t="inlineStr">
        <is>
          <t>Sí</t>
        </is>
      </c>
      <c r="AT74" s="16" t="n">
        <v>5.5</v>
      </c>
      <c r="AU74" s="16" t="inlineStr">
        <is>
          <t>Sí</t>
        </is>
      </c>
      <c r="AV74" s="16" t="inlineStr">
        <is>
          <t>Paradores</t>
        </is>
      </c>
      <c r="AX74" s="16" t="n">
        <v>6.9</v>
      </c>
      <c r="AY74" s="16" t="inlineStr">
        <is>
          <t>Todos los días</t>
        </is>
      </c>
      <c r="AZ74" s="16" t="inlineStr">
        <is>
          <t>Agua; Mate</t>
        </is>
      </c>
      <c r="BB74" s="16" t="inlineStr">
        <is>
          <t>Nunca</t>
        </is>
      </c>
      <c r="BC74" s="16" t="inlineStr">
        <is>
          <t>Sí</t>
        </is>
      </c>
      <c r="BD74" s="16" t="inlineStr">
        <is>
          <t>No</t>
        </is>
      </c>
      <c r="BE74" s="16" t="inlineStr">
        <is>
          <t>Sí</t>
        </is>
      </c>
      <c r="BF74" s="16" t="inlineStr">
        <is>
          <t>Obra social; Prepaga</t>
        </is>
      </c>
      <c r="BG74" s="16" t="inlineStr">
        <is>
          <t>Sistema público</t>
        </is>
      </c>
      <c r="BH74" s="16" t="inlineStr">
        <is>
          <t>Solo cuando me siento mal</t>
        </is>
      </c>
      <c r="BI74" s="16" t="inlineStr">
        <is>
          <t>Sistema público</t>
        </is>
      </c>
      <c r="BJ74" s="16" t="inlineStr">
        <is>
          <t>Sí</t>
        </is>
      </c>
      <c r="BK74" s="16" t="inlineStr">
        <is>
          <t>Lumbar</t>
        </is>
      </c>
      <c r="BL74" s="16" t="inlineStr">
        <is>
          <t>Ninguno</t>
        </is>
      </c>
      <c r="BN74" s="16" t="inlineStr">
        <is>
          <t>Musculoesqueléticos</t>
        </is>
      </c>
      <c r="BP74" s="16" t="inlineStr">
        <is>
          <t>Nunca</t>
        </is>
      </c>
      <c r="BQ74" s="16" t="inlineStr">
        <is>
          <t>Café</t>
        </is>
      </c>
      <c r="BS74" s="16" t="inlineStr">
        <is>
          <t>Sí</t>
        </is>
      </c>
      <c r="BT74" s="16" t="inlineStr">
        <is>
          <t>Sí</t>
        </is>
      </c>
      <c r="BU74" s="16" t="inlineStr">
        <is>
          <t>Nunca</t>
        </is>
      </c>
      <c r="BV74" s="16" t="inlineStr">
        <is>
          <t>No</t>
        </is>
      </c>
      <c r="BW74" s="16" t="inlineStr">
        <is>
          <t>No</t>
        </is>
      </c>
      <c r="BX74" s="16" t="inlineStr">
        <is>
          <t>Varón</t>
        </is>
      </c>
      <c r="BY74" s="16" t="n">
        <v>58.9</v>
      </c>
      <c r="BZ74" s="16" t="n">
        <v>1.6</v>
      </c>
      <c r="CA74" s="16" t="n">
        <v>23</v>
      </c>
      <c r="CB74" s="16" t="n">
        <v>79</v>
      </c>
      <c r="CC74" s="16" t="n">
        <v>144</v>
      </c>
      <c r="CD74" s="16" t="n">
        <v>91</v>
      </c>
      <c r="CE74" s="16" t="inlineStr">
        <is>
          <t>No</t>
        </is>
      </c>
      <c r="CF74" s="16" t="inlineStr">
        <is>
          <t>No</t>
        </is>
      </c>
      <c r="CG74" s="16" t="inlineStr">
        <is>
          <t>No</t>
        </is>
      </c>
      <c r="CH74" s="16" t="inlineStr">
        <is>
          <t>Sí</t>
        </is>
      </c>
      <c r="CI74" s="16" t="inlineStr">
        <is>
          <t>No</t>
        </is>
      </c>
      <c r="CJ74" s="16" t="inlineStr">
        <is>
          <t>No</t>
        </is>
      </c>
      <c r="CK74" s="16" t="inlineStr">
        <is>
          <t>Sí</t>
        </is>
      </c>
      <c r="CL74" s="16" t="inlineStr">
        <is>
          <t>No</t>
        </is>
      </c>
      <c r="CR74" s="16" t="inlineStr">
        <is>
          <t>Sí</t>
        </is>
      </c>
      <c r="CS74" s="16" t="n">
        <v>5</v>
      </c>
      <c r="CT74" s="16" t="inlineStr">
        <is>
          <t>Bajo</t>
        </is>
      </c>
      <c r="CU74" s="16" t="inlineStr">
        <is>
          <t>1 %</t>
        </is>
      </c>
      <c r="CV74" s="16" t="inlineStr">
        <is>
          <t>Sí</t>
        </is>
      </c>
      <c r="CW74" s="16" t="n">
        <v>7</v>
      </c>
      <c r="CX74" s="16" t="inlineStr">
        <is>
          <t>3</t>
        </is>
      </c>
      <c r="CY74" s="16" t="inlineStr">
        <is>
          <t>Bajo</t>
        </is>
      </c>
    </row>
    <row r="75">
      <c r="A75" s="16" t="inlineStr">
        <is>
          <t>demo-74</t>
        </is>
      </c>
      <c r="B75" s="16" t="inlineStr">
        <is>
          <t>A1-0074</t>
        </is>
      </c>
      <c r="C75" s="16" t="inlineStr">
        <is>
          <t>074-38-4630</t>
        </is>
      </c>
      <c r="D75" s="16" t="n">
        <v>74</v>
      </c>
      <c r="E75" s="16" t="n">
        <v>38</v>
      </c>
      <c r="F75" s="16" t="inlineStr">
        <is>
          <t>4630</t>
        </is>
      </c>
      <c r="G75" s="17" t="n">
        <v>46302</v>
      </c>
      <c r="H75" s="16" t="inlineStr">
        <is>
          <t>13:02</t>
        </is>
      </c>
      <c r="J75" s="16" t="inlineStr">
        <is>
          <t>A</t>
        </is>
      </c>
      <c r="K75" s="16" t="inlineStr">
        <is>
          <t>1</t>
        </is>
      </c>
      <c r="L75" s="16" t="inlineStr">
        <is>
          <t>Encuestador A</t>
        </is>
      </c>
      <c r="M75" s="16" t="inlineStr">
        <is>
          <t>Puesto 1</t>
        </is>
      </c>
      <c r="N75" s="16" t="inlineStr">
        <is>
          <t>Sí</t>
        </is>
      </c>
      <c r="O75" s="16" t="inlineStr">
        <is>
          <t>No</t>
        </is>
      </c>
      <c r="P75" s="16" t="n">
        <v>39</v>
      </c>
      <c r="Q75" s="16" t="inlineStr">
        <is>
          <t>Sí</t>
        </is>
      </c>
      <c r="R75" s="16" t="inlineStr">
        <is>
          <t>Sí</t>
        </is>
      </c>
      <c r="S75" s="16" t="inlineStr">
        <is>
          <t>Sí</t>
        </is>
      </c>
      <c r="T75" s="16" t="inlineStr">
        <is>
          <t>finalizado</t>
        </is>
      </c>
      <c r="U75" s="16" t="inlineStr">
        <is>
          <t>2026-10-v2</t>
        </is>
      </c>
      <c r="V75" s="16" t="inlineStr">
        <is>
          <t>2026-10-07T15:00:00.000Z</t>
        </is>
      </c>
      <c r="W75" s="16" t="inlineStr">
        <is>
          <t>Argentina</t>
        </is>
      </c>
      <c r="Y75" s="16" t="inlineStr">
        <is>
          <t>Terciario incompleto</t>
        </is>
      </c>
      <c r="Z75" s="16" t="inlineStr">
        <is>
          <t>No</t>
        </is>
      </c>
      <c r="AA75" s="16" t="inlineStr">
        <is>
          <t>5</t>
        </is>
      </c>
      <c r="AB75" s="16" t="inlineStr">
        <is>
          <t>5</t>
        </is>
      </c>
      <c r="AC75" s="16" t="inlineStr">
        <is>
          <t>Portugués; Guaraní</t>
        </is>
      </c>
      <c r="AE75" s="16" t="inlineStr">
        <is>
          <t>Español</t>
        </is>
      </c>
      <c r="AG75" s="16" t="inlineStr">
        <is>
          <t>Argentina</t>
        </is>
      </c>
      <c r="AI75" s="16" t="inlineStr">
        <is>
          <t>Bueno</t>
        </is>
      </c>
      <c r="AJ75" s="16" t="n">
        <v>4</v>
      </c>
      <c r="AK75" s="16" t="inlineStr">
        <is>
          <t>Viaje provincial (Jujuy)</t>
        </is>
      </c>
      <c r="AL75" s="16" t="inlineStr">
        <is>
          <t>2 veces por semana</t>
        </is>
      </c>
      <c r="AN75" s="16" t="inlineStr">
        <is>
          <t>2 veces por semana</t>
        </is>
      </c>
      <c r="AP75" s="16" t="inlineStr">
        <is>
          <t>Otro</t>
        </is>
      </c>
      <c r="AR75" s="16" t="inlineStr">
        <is>
          <t>Conforme</t>
        </is>
      </c>
      <c r="AS75" s="16" t="inlineStr">
        <is>
          <t>Sí</t>
        </is>
      </c>
      <c r="AT75" s="16" t="n">
        <v>4.1</v>
      </c>
      <c r="AU75" s="16" t="inlineStr">
        <is>
          <t>Sí</t>
        </is>
      </c>
      <c r="AV75" s="16" t="inlineStr">
        <is>
          <t>Paradores</t>
        </is>
      </c>
      <c r="AX75" s="16" t="n">
        <v>5.4</v>
      </c>
      <c r="AY75" s="16" t="inlineStr">
        <is>
          <t>Casi nunca</t>
        </is>
      </c>
      <c r="AZ75" s="16" t="inlineStr">
        <is>
          <t>Agua</t>
        </is>
      </c>
      <c r="BB75" s="16" t="inlineStr">
        <is>
          <t>A veces</t>
        </is>
      </c>
      <c r="BC75" s="16" t="inlineStr">
        <is>
          <t>Algunas veces</t>
        </is>
      </c>
      <c r="BD75" s="16" t="inlineStr">
        <is>
          <t>Sí</t>
        </is>
      </c>
      <c r="BE75" s="16" t="inlineStr">
        <is>
          <t>Parcialmente</t>
        </is>
      </c>
      <c r="BF75" s="16" t="inlineStr">
        <is>
          <t>Obra social</t>
        </is>
      </c>
      <c r="BG75" s="16" t="inlineStr">
        <is>
          <t>Sistema público</t>
        </is>
      </c>
      <c r="BH75" s="16" t="inlineStr">
        <is>
          <t>Solo cuando me siento mal</t>
        </is>
      </c>
      <c r="BI75" s="16" t="inlineStr">
        <is>
          <t>Sistema privado</t>
        </is>
      </c>
      <c r="BJ75" s="16" t="inlineStr">
        <is>
          <t>Sí</t>
        </is>
      </c>
      <c r="BK75" s="16" t="inlineStr">
        <is>
          <t>Cervical</t>
        </is>
      </c>
      <c r="BL75" s="16" t="inlineStr">
        <is>
          <t>Medicamentos; Hierbas</t>
        </is>
      </c>
      <c r="BM75" s="16" t="inlineStr">
        <is>
          <t>Ibuprofeno</t>
        </is>
      </c>
      <c r="BN75" s="16" t="inlineStr">
        <is>
          <t>Obesidad</t>
        </is>
      </c>
      <c r="BP75" s="16" t="inlineStr">
        <is>
          <t>Rara vez</t>
        </is>
      </c>
      <c r="BQ75" s="16" t="inlineStr">
        <is>
          <t>Café; Coca-Cola</t>
        </is>
      </c>
      <c r="BS75" s="16" t="inlineStr">
        <is>
          <t>No</t>
        </is>
      </c>
      <c r="BT75" s="16" t="inlineStr">
        <is>
          <t>Sí</t>
        </is>
      </c>
      <c r="BU75" s="16" t="inlineStr">
        <is>
          <t>Nunca</t>
        </is>
      </c>
      <c r="BV75" s="16" t="inlineStr">
        <is>
          <t>No</t>
        </is>
      </c>
      <c r="BW75" s="16" t="inlineStr">
        <is>
          <t>No</t>
        </is>
      </c>
      <c r="BX75" s="16" t="inlineStr">
        <is>
          <t>Varón</t>
        </is>
      </c>
      <c r="BY75" s="16" t="n">
        <v>79.59999999999999</v>
      </c>
      <c r="BZ75" s="16" t="n">
        <v>1.76</v>
      </c>
      <c r="CA75" s="16" t="n">
        <v>25.7</v>
      </c>
      <c r="CB75" s="16" t="n">
        <v>102</v>
      </c>
      <c r="CC75" s="16" t="n">
        <v>163</v>
      </c>
      <c r="CD75" s="16" t="n">
        <v>103</v>
      </c>
      <c r="CE75" s="16" t="inlineStr">
        <is>
          <t>No</t>
        </is>
      </c>
      <c r="CF75" s="16" t="inlineStr">
        <is>
          <t>No</t>
        </is>
      </c>
      <c r="CG75" s="16" t="inlineStr">
        <is>
          <t>Sí</t>
        </is>
      </c>
      <c r="CH75" s="16" t="inlineStr">
        <is>
          <t>No</t>
        </is>
      </c>
      <c r="CI75" s="16" t="inlineStr">
        <is>
          <t>Sí</t>
        </is>
      </c>
      <c r="CJ75" s="16" t="inlineStr">
        <is>
          <t>No</t>
        </is>
      </c>
      <c r="CK75" s="16" t="inlineStr">
        <is>
          <t>Sí</t>
        </is>
      </c>
      <c r="CL75" s="16" t="inlineStr">
        <is>
          <t>Sí</t>
        </is>
      </c>
      <c r="CM75" s="16" t="inlineStr">
        <is>
          <t>07:42</t>
        </is>
      </c>
      <c r="CN75" s="16" t="inlineStr">
        <is>
          <t>Mate</t>
        </is>
      </c>
      <c r="CO75" s="16" t="inlineStr">
        <is>
          <t>11:30</t>
        </is>
      </c>
      <c r="CP75" s="16" t="n">
        <v>163</v>
      </c>
      <c r="CQ75" s="16" t="n">
        <v>228</v>
      </c>
      <c r="CR75" s="16" t="inlineStr">
        <is>
          <t>Sí</t>
        </is>
      </c>
      <c r="CS75" s="16" t="n">
        <v>12</v>
      </c>
      <c r="CT75" s="16" t="inlineStr">
        <is>
          <t>Moderado</t>
        </is>
      </c>
      <c r="CU75" s="16" t="inlineStr">
        <is>
          <t>17 %</t>
        </is>
      </c>
      <c r="CV75" s="16" t="inlineStr">
        <is>
          <t>Sí</t>
        </is>
      </c>
      <c r="CW75" s="16" t="n">
        <v>7</v>
      </c>
      <c r="CX75" s="16" t="inlineStr">
        <is>
          <t>3</t>
        </is>
      </c>
      <c r="CY75" s="16" t="inlineStr">
        <is>
          <t>Bajo</t>
        </is>
      </c>
    </row>
    <row r="76">
      <c r="A76" s="16" t="inlineStr">
        <is>
          <t>demo-75</t>
        </is>
      </c>
      <c r="B76" s="16" t="inlineStr">
        <is>
          <t>B1-0075</t>
        </is>
      </c>
      <c r="C76" s="16" t="inlineStr">
        <is>
          <t>274-58-4400</t>
        </is>
      </c>
      <c r="D76" s="16" t="n">
        <v>274</v>
      </c>
      <c r="E76" s="16" t="n">
        <v>58</v>
      </c>
      <c r="F76" s="16" t="inlineStr">
        <is>
          <t>4400</t>
        </is>
      </c>
      <c r="G76" s="17" t="n">
        <v>46301</v>
      </c>
      <c r="H76" s="16" t="inlineStr">
        <is>
          <t>11:01</t>
        </is>
      </c>
      <c r="J76" s="16" t="inlineStr">
        <is>
          <t>B</t>
        </is>
      </c>
      <c r="K76" s="16" t="inlineStr">
        <is>
          <t>1</t>
        </is>
      </c>
      <c r="L76" s="16" t="inlineStr">
        <is>
          <t>Encuestador B</t>
        </is>
      </c>
      <c r="M76" s="16" t="inlineStr">
        <is>
          <t>Puesto 1</t>
        </is>
      </c>
      <c r="N76" s="16" t="inlineStr">
        <is>
          <t>Sí</t>
        </is>
      </c>
      <c r="O76" s="16" t="inlineStr">
        <is>
          <t>Sí</t>
        </is>
      </c>
      <c r="P76" s="16" t="n">
        <v>39</v>
      </c>
      <c r="Q76" s="16" t="inlineStr">
        <is>
          <t>Sí</t>
        </is>
      </c>
      <c r="R76" s="16" t="inlineStr">
        <is>
          <t>Sí</t>
        </is>
      </c>
      <c r="S76" s="16" t="inlineStr">
        <is>
          <t>Sí</t>
        </is>
      </c>
      <c r="T76" s="16" t="inlineStr">
        <is>
          <t>finalizado</t>
        </is>
      </c>
      <c r="U76" s="16" t="inlineStr">
        <is>
          <t>2026-10-v2</t>
        </is>
      </c>
      <c r="V76" s="16" t="inlineStr">
        <is>
          <t>2026-10-06T15:00:00.000Z</t>
        </is>
      </c>
      <c r="W76" s="16" t="inlineStr">
        <is>
          <t>Argentina</t>
        </is>
      </c>
      <c r="Y76" s="16" t="inlineStr">
        <is>
          <t>Universitario incompleto</t>
        </is>
      </c>
      <c r="Z76" s="16" t="inlineStr">
        <is>
          <t>Sí</t>
        </is>
      </c>
      <c r="AA76" s="16" t="inlineStr">
        <is>
          <t>3</t>
        </is>
      </c>
      <c r="AB76" s="16" t="inlineStr">
        <is>
          <t>4</t>
        </is>
      </c>
      <c r="AC76" s="16" t="inlineStr">
        <is>
          <t>Guaraní</t>
        </is>
      </c>
      <c r="AE76" s="16" t="inlineStr">
        <is>
          <t>Español</t>
        </is>
      </c>
      <c r="AG76" s="16" t="inlineStr">
        <is>
          <t>Argentina</t>
        </is>
      </c>
      <c r="AI76" s="16" t="inlineStr">
        <is>
          <t>Bueno</t>
        </is>
      </c>
      <c r="AJ76" s="16" t="n">
        <v>31</v>
      </c>
      <c r="AK76" s="16" t="inlineStr">
        <is>
          <t>Viaje interprovincial</t>
        </is>
      </c>
      <c r="AL76" s="16" t="inlineStr">
        <is>
          <t>2 veces por semana</t>
        </is>
      </c>
      <c r="AN76" s="16" t="inlineStr">
        <is>
          <t>2 veces por semana</t>
        </is>
      </c>
      <c r="AP76" s="16" t="inlineStr">
        <is>
          <t>Dueño del camión</t>
        </is>
      </c>
      <c r="AR76" s="16" t="inlineStr">
        <is>
          <t>Conforme</t>
        </is>
      </c>
      <c r="AS76" s="16" t="inlineStr">
        <is>
          <t>Sí</t>
        </is>
      </c>
      <c r="AT76" s="16" t="n">
        <v>2.9</v>
      </c>
      <c r="AU76" s="16" t="inlineStr">
        <is>
          <t>Sí</t>
        </is>
      </c>
      <c r="AV76" s="16" t="inlineStr">
        <is>
          <t>En el camión al costado de la ruta</t>
        </is>
      </c>
      <c r="AX76" s="16" t="n">
        <v>5.8</v>
      </c>
      <c r="AY76" s="16" t="inlineStr">
        <is>
          <t>Casi nunca</t>
        </is>
      </c>
      <c r="AZ76" s="16" t="inlineStr">
        <is>
          <t>Café; Mate</t>
        </is>
      </c>
      <c r="BB76" s="16" t="inlineStr">
        <is>
          <t>Sí, siempre</t>
        </is>
      </c>
      <c r="BC76" s="16" t="inlineStr">
        <is>
          <t>Algunas veces</t>
        </is>
      </c>
      <c r="BD76" s="16" t="inlineStr">
        <is>
          <t>No</t>
        </is>
      </c>
      <c r="BE76" s="16" t="inlineStr">
        <is>
          <t>No</t>
        </is>
      </c>
      <c r="BF76" s="16" t="inlineStr">
        <is>
          <t>Obra social</t>
        </is>
      </c>
      <c r="BG76" s="16" t="inlineStr">
        <is>
          <t>Sistema privado</t>
        </is>
      </c>
      <c r="BH76" s="16" t="inlineStr">
        <is>
          <t>Una vez al año</t>
        </is>
      </c>
      <c r="BI76" s="16" t="inlineStr">
        <is>
          <t>Sistema público</t>
        </is>
      </c>
      <c r="BJ76" s="16" t="inlineStr">
        <is>
          <t>No</t>
        </is>
      </c>
      <c r="BL76" s="16" t="inlineStr">
        <is>
          <t>Medicamentos</t>
        </is>
      </c>
      <c r="BM76" s="16" t="inlineStr">
        <is>
          <t>Ibuprofeno</t>
        </is>
      </c>
      <c r="BN76" s="16" t="inlineStr">
        <is>
          <t>Musculoesqueléticos</t>
        </is>
      </c>
      <c r="BP76" s="16" t="inlineStr">
        <is>
          <t>Una vez a la semana</t>
        </is>
      </c>
      <c r="BQ76" s="16" t="inlineStr">
        <is>
          <t>Café; Coca-Cola</t>
        </is>
      </c>
      <c r="BS76" s="16" t="inlineStr">
        <is>
          <t>No</t>
        </is>
      </c>
      <c r="BT76" s="16" t="inlineStr">
        <is>
          <t>No</t>
        </is>
      </c>
      <c r="BU76" s="16" t="inlineStr">
        <is>
          <t>Nunca</t>
        </is>
      </c>
      <c r="BV76" s="16" t="inlineStr">
        <is>
          <t>Sí</t>
        </is>
      </c>
      <c r="BW76" s="16" t="inlineStr">
        <is>
          <t>No</t>
        </is>
      </c>
      <c r="BX76" s="16" t="inlineStr">
        <is>
          <t>Varón</t>
        </is>
      </c>
      <c r="BY76" s="16" t="n">
        <v>100.9</v>
      </c>
      <c r="BZ76" s="16" t="n">
        <v>1.84</v>
      </c>
      <c r="CA76" s="16" t="n">
        <v>29.8</v>
      </c>
      <c r="CB76" s="16" t="n">
        <v>112</v>
      </c>
      <c r="CC76" s="16" t="n">
        <v>161</v>
      </c>
      <c r="CD76" s="16" t="n">
        <v>102</v>
      </c>
      <c r="CE76" s="16" t="inlineStr">
        <is>
          <t>No</t>
        </is>
      </c>
      <c r="CF76" s="16" t="inlineStr">
        <is>
          <t>Sí</t>
        </is>
      </c>
      <c r="CG76" s="16" t="inlineStr">
        <is>
          <t>Sí</t>
        </is>
      </c>
      <c r="CH76" s="16" t="inlineStr">
        <is>
          <t>No</t>
        </is>
      </c>
      <c r="CI76" s="16" t="inlineStr">
        <is>
          <t>No</t>
        </is>
      </c>
      <c r="CJ76" s="16" t="inlineStr">
        <is>
          <t>Sí, parientes lejanos</t>
        </is>
      </c>
      <c r="CK76" s="16" t="inlineStr">
        <is>
          <t>No</t>
        </is>
      </c>
      <c r="CL76" s="16" t="inlineStr">
        <is>
          <t>Sí</t>
        </is>
      </c>
      <c r="CM76" s="16" t="inlineStr">
        <is>
          <t>07:46</t>
        </is>
      </c>
      <c r="CN76" s="16" t="inlineStr">
        <is>
          <t>Mate</t>
        </is>
      </c>
      <c r="CO76" s="16" t="inlineStr">
        <is>
          <t>11:30</t>
        </is>
      </c>
      <c r="CP76" s="16" t="n">
        <v>165</v>
      </c>
      <c r="CQ76" s="16" t="n">
        <v>224</v>
      </c>
      <c r="CR76" s="16" t="inlineStr">
        <is>
          <t>Sí</t>
        </is>
      </c>
      <c r="CS76" s="16" t="n">
        <v>13</v>
      </c>
      <c r="CT76" s="16" t="inlineStr">
        <is>
          <t>Moderado</t>
        </is>
      </c>
      <c r="CU76" s="16" t="inlineStr">
        <is>
          <t>17 %</t>
        </is>
      </c>
      <c r="CV76" s="16" t="inlineStr">
        <is>
          <t>Sí</t>
        </is>
      </c>
      <c r="CW76" s="16" t="n">
        <v>11</v>
      </c>
      <c r="CX76" s="16" t="inlineStr">
        <is>
          <t>8</t>
        </is>
      </c>
      <c r="CY76" s="16" t="inlineStr">
        <is>
          <t>Bajo</t>
        </is>
      </c>
    </row>
    <row r="77">
      <c r="A77" s="16" t="inlineStr">
        <is>
          <t>demo-76</t>
        </is>
      </c>
      <c r="B77" s="16" t="inlineStr">
        <is>
          <t>B1-0076</t>
        </is>
      </c>
      <c r="C77" s="16" t="inlineStr">
        <is>
          <t>275-30-4400</t>
        </is>
      </c>
      <c r="D77" s="16" t="n">
        <v>275</v>
      </c>
      <c r="E77" s="16" t="n">
        <v>30</v>
      </c>
      <c r="F77" s="16" t="inlineStr">
        <is>
          <t>4400</t>
        </is>
      </c>
      <c r="G77" s="17" t="n">
        <v>46291</v>
      </c>
      <c r="H77" s="16" t="inlineStr">
        <is>
          <t>16:05</t>
        </is>
      </c>
      <c r="J77" s="16" t="inlineStr">
        <is>
          <t>B</t>
        </is>
      </c>
      <c r="K77" s="16" t="inlineStr">
        <is>
          <t>1</t>
        </is>
      </c>
      <c r="L77" s="16" t="inlineStr">
        <is>
          <t>Encuestador B</t>
        </is>
      </c>
      <c r="M77" s="16" t="inlineStr">
        <is>
          <t>Puesto 1</t>
        </is>
      </c>
      <c r="N77" s="16" t="inlineStr">
        <is>
          <t>Sí</t>
        </is>
      </c>
      <c r="O77" s="16" t="inlineStr">
        <is>
          <t>Sí</t>
        </is>
      </c>
      <c r="P77" s="16" t="n">
        <v>39</v>
      </c>
      <c r="Q77" s="16" t="inlineStr">
        <is>
          <t>Sí</t>
        </is>
      </c>
      <c r="R77" s="16" t="inlineStr">
        <is>
          <t>Sí</t>
        </is>
      </c>
      <c r="S77" s="16" t="inlineStr">
        <is>
          <t>No</t>
        </is>
      </c>
      <c r="T77" s="16" t="inlineStr">
        <is>
          <t>finalizado</t>
        </is>
      </c>
      <c r="U77" s="16" t="inlineStr">
        <is>
          <t>2026-10-v2</t>
        </is>
      </c>
      <c r="V77" s="16" t="inlineStr">
        <is>
          <t>2026-09-26T15:00:00.000Z</t>
        </is>
      </c>
      <c r="W77" s="16" t="inlineStr">
        <is>
          <t>Argentina</t>
        </is>
      </c>
      <c r="Y77" s="16" t="inlineStr">
        <is>
          <t>Universitario incompleto</t>
        </is>
      </c>
      <c r="Z77" s="16" t="inlineStr">
        <is>
          <t>Sí</t>
        </is>
      </c>
      <c r="AA77" s="16" t="inlineStr">
        <is>
          <t>Más de 5</t>
        </is>
      </c>
      <c r="AB77" s="16" t="inlineStr">
        <is>
          <t>Más de 5</t>
        </is>
      </c>
      <c r="AC77" s="16" t="inlineStr">
        <is>
          <t>Guaraní</t>
        </is>
      </c>
      <c r="AE77" s="16" t="inlineStr">
        <is>
          <t>Español</t>
        </is>
      </c>
      <c r="AG77" s="16" t="inlineStr">
        <is>
          <t>Argentina</t>
        </is>
      </c>
      <c r="AI77" s="16" t="inlineStr">
        <is>
          <t>Bueno</t>
        </is>
      </c>
      <c r="AJ77" s="16" t="n">
        <v>7</v>
      </c>
      <c r="AK77" s="16" t="inlineStr">
        <is>
          <t>Viaje internacional</t>
        </is>
      </c>
      <c r="AL77" s="16" t="inlineStr">
        <is>
          <t>Una vez a la semana</t>
        </is>
      </c>
      <c r="AN77" s="16" t="inlineStr">
        <is>
          <t>Diariamente</t>
        </is>
      </c>
      <c r="AP77" s="16" t="inlineStr">
        <is>
          <t>Dueño del camión</t>
        </is>
      </c>
      <c r="AR77" s="16" t="inlineStr">
        <is>
          <t>Conforme</t>
        </is>
      </c>
      <c r="AS77" s="16" t="inlineStr">
        <is>
          <t>No</t>
        </is>
      </c>
      <c r="AT77" s="16" t="n">
        <v>4.4</v>
      </c>
      <c r="AU77" s="16" t="inlineStr">
        <is>
          <t>No</t>
        </is>
      </c>
      <c r="AV77" s="16" t="inlineStr">
        <is>
          <t>En el camión al costado de la ruta</t>
        </is>
      </c>
      <c r="AX77" s="16" t="n">
        <v>4.5</v>
      </c>
      <c r="AY77" s="16" t="inlineStr">
        <is>
          <t>Casi nunca</t>
        </is>
      </c>
      <c r="AZ77" s="16" t="inlineStr">
        <is>
          <t>Café; Agua</t>
        </is>
      </c>
      <c r="BB77" s="16" t="inlineStr">
        <is>
          <t>A veces</t>
        </is>
      </c>
      <c r="BC77" s="16" t="inlineStr">
        <is>
          <t>Sí</t>
        </is>
      </c>
      <c r="BD77" s="16" t="inlineStr">
        <is>
          <t>No</t>
        </is>
      </c>
      <c r="BE77" s="16" t="inlineStr">
        <is>
          <t>Parcialmente</t>
        </is>
      </c>
      <c r="BF77" s="16" t="inlineStr">
        <is>
          <t>Obra social; Prepaga</t>
        </is>
      </c>
      <c r="BG77" s="16" t="inlineStr">
        <is>
          <t>Sistema privado</t>
        </is>
      </c>
      <c r="BH77" s="16" t="inlineStr">
        <is>
          <t>Nunca</t>
        </is>
      </c>
      <c r="BI77" s="16" t="inlineStr">
        <is>
          <t>Sistema público; Otros (medicina tradicional, alternativa, etc.)</t>
        </is>
      </c>
      <c r="BJ77" s="16" t="inlineStr">
        <is>
          <t>Sí</t>
        </is>
      </c>
      <c r="BK77" s="16" t="inlineStr">
        <is>
          <t>Cervical</t>
        </is>
      </c>
      <c r="BL77" s="16" t="inlineStr">
        <is>
          <t>Medicamentos; Hierbas</t>
        </is>
      </c>
      <c r="BM77" s="16" t="inlineStr">
        <is>
          <t>Ibuprofeno</t>
        </is>
      </c>
      <c r="BN77" s="16" t="inlineStr">
        <is>
          <t>Obesidad</t>
        </is>
      </c>
      <c r="BP77" s="16" t="inlineStr">
        <is>
          <t>Rara vez</t>
        </is>
      </c>
      <c r="BQ77" s="16" t="inlineStr">
        <is>
          <t>No</t>
        </is>
      </c>
      <c r="BS77" s="16" t="inlineStr">
        <is>
          <t>No</t>
        </is>
      </c>
      <c r="BT77" s="16" t="inlineStr">
        <is>
          <t>Sí</t>
        </is>
      </c>
      <c r="BU77" s="16" t="inlineStr">
        <is>
          <t>Nunca</t>
        </is>
      </c>
      <c r="BV77" s="16" t="inlineStr">
        <is>
          <t>No</t>
        </is>
      </c>
      <c r="BW77" s="16" t="inlineStr">
        <is>
          <t>No</t>
        </is>
      </c>
      <c r="BX77" s="16" t="inlineStr">
        <is>
          <t>Varón</t>
        </is>
      </c>
      <c r="BY77" s="16" t="n">
        <v>80.90000000000001</v>
      </c>
      <c r="BZ77" s="16" t="n">
        <v>1.6</v>
      </c>
      <c r="CA77" s="16" t="n">
        <v>31.6</v>
      </c>
      <c r="CB77" s="16" t="n">
        <v>99</v>
      </c>
      <c r="CC77" s="16" t="n">
        <v>142</v>
      </c>
      <c r="CD77" s="16" t="n">
        <v>90</v>
      </c>
      <c r="CE77" s="16" t="inlineStr">
        <is>
          <t>No</t>
        </is>
      </c>
      <c r="CF77" s="16" t="inlineStr">
        <is>
          <t>Sí</t>
        </is>
      </c>
      <c r="CG77" s="16" t="inlineStr">
        <is>
          <t>No</t>
        </is>
      </c>
      <c r="CH77" s="16" t="inlineStr">
        <is>
          <t>No</t>
        </is>
      </c>
      <c r="CI77" s="16" t="inlineStr">
        <is>
          <t>Sí</t>
        </is>
      </c>
      <c r="CJ77" s="16" t="inlineStr">
        <is>
          <t>No</t>
        </is>
      </c>
      <c r="CK77" s="16" t="inlineStr">
        <is>
          <t>Sí</t>
        </is>
      </c>
      <c r="CL77" s="16" t="inlineStr">
        <is>
          <t>No</t>
        </is>
      </c>
      <c r="CR77" s="16" t="inlineStr">
        <is>
          <t>Sí</t>
        </is>
      </c>
      <c r="CS77" s="16" t="n">
        <v>13</v>
      </c>
      <c r="CT77" s="16" t="inlineStr">
        <is>
          <t>Moderado</t>
        </is>
      </c>
      <c r="CU77" s="16" t="inlineStr">
        <is>
          <t>17 %</t>
        </is>
      </c>
      <c r="CV77" s="16" t="inlineStr">
        <is>
          <t>Sí</t>
        </is>
      </c>
      <c r="CW77" s="16" t="n">
        <v>3</v>
      </c>
      <c r="CX77" s="16" t="inlineStr">
        <is>
          <t>1</t>
        </is>
      </c>
      <c r="CY77" s="16" t="inlineStr">
        <is>
          <t>Bajo</t>
        </is>
      </c>
    </row>
    <row r="78">
      <c r="A78" s="16" t="inlineStr">
        <is>
          <t>demo-77</t>
        </is>
      </c>
      <c r="B78" s="16" t="inlineStr">
        <is>
          <t>C1-0077</t>
        </is>
      </c>
      <c r="C78" s="16" t="inlineStr">
        <is>
          <t>476-43-4600</t>
        </is>
      </c>
      <c r="D78" s="16" t="n">
        <v>476</v>
      </c>
      <c r="E78" s="16" t="n">
        <v>43</v>
      </c>
      <c r="F78" s="16" t="inlineStr">
        <is>
          <t>4600</t>
        </is>
      </c>
      <c r="G78" s="17" t="n">
        <v>46291</v>
      </c>
      <c r="H78" s="16" t="inlineStr">
        <is>
          <t>11:03</t>
        </is>
      </c>
      <c r="J78" s="16" t="inlineStr">
        <is>
          <t>C</t>
        </is>
      </c>
      <c r="K78" s="16" t="inlineStr">
        <is>
          <t>1</t>
        </is>
      </c>
      <c r="L78" s="16" t="inlineStr">
        <is>
          <t>Encuestador C</t>
        </is>
      </c>
      <c r="M78" s="16" t="inlineStr">
        <is>
          <t>Puesto 1</t>
        </is>
      </c>
      <c r="N78" s="16" t="inlineStr">
        <is>
          <t>Sí</t>
        </is>
      </c>
      <c r="O78" s="16" t="inlineStr">
        <is>
          <t>Sí</t>
        </is>
      </c>
      <c r="P78" s="16" t="n">
        <v>39</v>
      </c>
      <c r="Q78" s="16" t="inlineStr">
        <is>
          <t>Sí</t>
        </is>
      </c>
      <c r="R78" s="16" t="inlineStr">
        <is>
          <t>Sí</t>
        </is>
      </c>
      <c r="S78" s="16" t="inlineStr">
        <is>
          <t>Sí</t>
        </is>
      </c>
      <c r="T78" s="16" t="inlineStr">
        <is>
          <t>finalizado</t>
        </is>
      </c>
      <c r="U78" s="16" t="inlineStr">
        <is>
          <t>2026-10-v2</t>
        </is>
      </c>
      <c r="V78" s="16" t="inlineStr">
        <is>
          <t>2026-09-26T15:00:00.000Z</t>
        </is>
      </c>
      <c r="W78" s="16" t="inlineStr">
        <is>
          <t>Chile</t>
        </is>
      </c>
      <c r="Y78" s="16" t="inlineStr">
        <is>
          <t>Secundaria completa</t>
        </is>
      </c>
      <c r="Z78" s="16" t="inlineStr">
        <is>
          <t>No</t>
        </is>
      </c>
      <c r="AA78" s="16" t="inlineStr">
        <is>
          <t>Más de 5</t>
        </is>
      </c>
      <c r="AB78" s="16" t="inlineStr">
        <is>
          <t>3</t>
        </is>
      </c>
      <c r="AC78" s="16" t="inlineStr">
        <is>
          <t>Guaraní; Portugués</t>
        </is>
      </c>
      <c r="AE78" s="16" t="inlineStr">
        <is>
          <t>Español</t>
        </is>
      </c>
      <c r="AG78" s="16" t="inlineStr">
        <is>
          <t>Argentina</t>
        </is>
      </c>
      <c r="AI78" s="16" t="inlineStr">
        <is>
          <t>Regular</t>
        </is>
      </c>
      <c r="AJ78" s="16" t="n">
        <v>22</v>
      </c>
      <c r="AK78" s="16" t="inlineStr">
        <is>
          <t>Viaje interprovincial</t>
        </is>
      </c>
      <c r="AL78" s="16" t="inlineStr">
        <is>
          <t>Una vez a la semana</t>
        </is>
      </c>
      <c r="AN78" s="16" t="inlineStr">
        <is>
          <t>2 veces por semana</t>
        </is>
      </c>
      <c r="AP78" s="16" t="inlineStr">
        <is>
          <t>Dueño del camión</t>
        </is>
      </c>
      <c r="AR78" s="16" t="inlineStr">
        <is>
          <t>Conforme</t>
        </is>
      </c>
      <c r="AS78" s="16" t="inlineStr">
        <is>
          <t>Sí</t>
        </is>
      </c>
      <c r="AT78" s="16" t="n">
        <v>7.4</v>
      </c>
      <c r="AU78" s="16" t="inlineStr">
        <is>
          <t>Sí</t>
        </is>
      </c>
      <c r="AV78" s="16" t="inlineStr">
        <is>
          <t>Estaciones de servicio</t>
        </is>
      </c>
      <c r="AX78" s="16" t="n">
        <v>5.4</v>
      </c>
      <c r="AY78" s="16" t="inlineStr">
        <is>
          <t>Nunca</t>
        </is>
      </c>
      <c r="AZ78" s="16" t="inlineStr">
        <is>
          <t>Jugos artificiales; Gaseosas</t>
        </is>
      </c>
      <c r="BB78" s="16" t="inlineStr">
        <is>
          <t>Casi nunca</t>
        </is>
      </c>
      <c r="BC78" s="16" t="inlineStr">
        <is>
          <t>No</t>
        </is>
      </c>
      <c r="BD78" s="16" t="inlineStr">
        <is>
          <t>No</t>
        </is>
      </c>
      <c r="BE78" s="16" t="inlineStr">
        <is>
          <t>Parcialmente</t>
        </is>
      </c>
      <c r="BF78" s="16" t="inlineStr">
        <is>
          <t>Obra social</t>
        </is>
      </c>
      <c r="BG78" s="16" t="inlineStr">
        <is>
          <t>Sistema privado</t>
        </is>
      </c>
      <c r="BH78" s="16" t="inlineStr">
        <is>
          <t>2 veces al año</t>
        </is>
      </c>
      <c r="BI78" s="16" t="inlineStr">
        <is>
          <t>Sistema público; Otros (medicina tradicional, alternativa, etc.)</t>
        </is>
      </c>
      <c r="BJ78" s="16" t="inlineStr">
        <is>
          <t>Sí</t>
        </is>
      </c>
      <c r="BK78" s="16" t="inlineStr">
        <is>
          <t>Rodillas</t>
        </is>
      </c>
      <c r="BL78" s="16" t="inlineStr">
        <is>
          <t>Medicamentos; Hierbas</t>
        </is>
      </c>
      <c r="BM78" s="16" t="inlineStr">
        <is>
          <t>Ibuprofeno</t>
        </is>
      </c>
      <c r="BN78" s="16" t="inlineStr">
        <is>
          <t>Musculoesqueléticos; Digestivas</t>
        </is>
      </c>
      <c r="BP78" s="16" t="inlineStr">
        <is>
          <t>Nunca</t>
        </is>
      </c>
      <c r="BQ78" s="16" t="inlineStr">
        <is>
          <t>Yerba mate</t>
        </is>
      </c>
      <c r="BS78" s="16" t="inlineStr">
        <is>
          <t>Sí</t>
        </is>
      </c>
      <c r="BT78" s="16" t="inlineStr">
        <is>
          <t>No</t>
        </is>
      </c>
      <c r="BU78" s="16" t="inlineStr">
        <is>
          <t>Nunca</t>
        </is>
      </c>
      <c r="BV78" s="16" t="inlineStr">
        <is>
          <t>Sí</t>
        </is>
      </c>
      <c r="BW78" s="16" t="inlineStr">
        <is>
          <t>No</t>
        </is>
      </c>
      <c r="BX78" s="16" t="inlineStr">
        <is>
          <t>Varón</t>
        </is>
      </c>
      <c r="BY78" s="16" t="n">
        <v>92.5</v>
      </c>
      <c r="BZ78" s="16" t="n">
        <v>1.73</v>
      </c>
      <c r="CA78" s="16" t="n">
        <v>30.9</v>
      </c>
      <c r="CB78" s="16" t="n">
        <v>81</v>
      </c>
      <c r="CC78" s="16" t="n">
        <v>162</v>
      </c>
      <c r="CD78" s="16" t="n">
        <v>102</v>
      </c>
      <c r="CE78" s="16" t="inlineStr">
        <is>
          <t>No</t>
        </is>
      </c>
      <c r="CF78" s="16" t="inlineStr">
        <is>
          <t>No</t>
        </is>
      </c>
      <c r="CG78" s="16" t="inlineStr">
        <is>
          <t>No</t>
        </is>
      </c>
      <c r="CH78" s="16" t="inlineStr">
        <is>
          <t>No</t>
        </is>
      </c>
      <c r="CI78" s="16" t="inlineStr">
        <is>
          <t>No</t>
        </is>
      </c>
      <c r="CJ78" s="16" t="inlineStr">
        <is>
          <t>Sí, primer grado</t>
        </is>
      </c>
      <c r="CK78" s="16" t="inlineStr">
        <is>
          <t>No</t>
        </is>
      </c>
      <c r="CL78" s="16" t="inlineStr">
        <is>
          <t>Sí</t>
        </is>
      </c>
      <c r="CM78" s="16" t="inlineStr">
        <is>
          <t>07:27</t>
        </is>
      </c>
      <c r="CN78" s="16" t="inlineStr">
        <is>
          <t>Mate</t>
        </is>
      </c>
      <c r="CO78" s="16" t="inlineStr">
        <is>
          <t>11:30</t>
        </is>
      </c>
      <c r="CP78" s="16" t="n">
        <v>109</v>
      </c>
      <c r="CQ78" s="16" t="n">
        <v>243</v>
      </c>
      <c r="CR78" s="16" t="inlineStr">
        <is>
          <t>Sí</t>
        </is>
      </c>
      <c r="CS78" s="16" t="n">
        <v>11</v>
      </c>
      <c r="CT78" s="16" t="inlineStr">
        <is>
          <t>Ligeramente elevado</t>
        </is>
      </c>
      <c r="CU78" s="16" t="inlineStr">
        <is>
          <t>4 %</t>
        </is>
      </c>
      <c r="CV78" s="16" t="inlineStr">
        <is>
          <t>Sí</t>
        </is>
      </c>
      <c r="CW78" s="16" t="n">
        <v>4</v>
      </c>
      <c r="CX78" s="16" t="inlineStr">
        <is>
          <t>1</t>
        </is>
      </c>
      <c r="CY78" s="16" t="inlineStr">
        <is>
          <t>Bajo</t>
        </is>
      </c>
    </row>
    <row r="79">
      <c r="A79" s="16" t="inlineStr">
        <is>
          <t>demo-78</t>
        </is>
      </c>
      <c r="B79" s="16" t="inlineStr">
        <is>
          <t>A1-0078</t>
        </is>
      </c>
      <c r="C79" s="16" t="inlineStr">
        <is>
          <t>078-67-4612</t>
        </is>
      </c>
      <c r="D79" s="16" t="n">
        <v>78</v>
      </c>
      <c r="E79" s="16" t="n">
        <v>67</v>
      </c>
      <c r="F79" s="16" t="inlineStr">
        <is>
          <t>4612</t>
        </is>
      </c>
      <c r="G79" s="17" t="n">
        <v>46290</v>
      </c>
      <c r="H79" s="16" t="inlineStr">
        <is>
          <t>15:01</t>
        </is>
      </c>
      <c r="J79" s="16" t="inlineStr">
        <is>
          <t>A</t>
        </is>
      </c>
      <c r="K79" s="16" t="inlineStr">
        <is>
          <t>1</t>
        </is>
      </c>
      <c r="L79" s="16" t="inlineStr">
        <is>
          <t>Encuestador A</t>
        </is>
      </c>
      <c r="M79" s="16" t="inlineStr">
        <is>
          <t>Puesto 2</t>
        </is>
      </c>
      <c r="N79" s="16" t="inlineStr">
        <is>
          <t>Sí</t>
        </is>
      </c>
      <c r="O79" s="16" t="inlineStr">
        <is>
          <t>Sí</t>
        </is>
      </c>
      <c r="P79" s="16" t="n">
        <v>38</v>
      </c>
      <c r="Q79" s="16" t="inlineStr">
        <is>
          <t>Sí</t>
        </is>
      </c>
      <c r="R79" s="16" t="inlineStr">
        <is>
          <t>Sí</t>
        </is>
      </c>
      <c r="S79" s="16" t="inlineStr">
        <is>
          <t>No</t>
        </is>
      </c>
      <c r="T79" s="16" t="inlineStr">
        <is>
          <t>finalizado</t>
        </is>
      </c>
      <c r="U79" s="16" t="inlineStr">
        <is>
          <t>2026-10-v2</t>
        </is>
      </c>
      <c r="V79" s="16" t="inlineStr">
        <is>
          <t>2026-09-25T15:00:00.000Z</t>
        </is>
      </c>
      <c r="W79" s="16" t="inlineStr">
        <is>
          <t>Argentina</t>
        </is>
      </c>
      <c r="Y79" s="16" t="inlineStr">
        <is>
          <t>Secundaria completa</t>
        </is>
      </c>
      <c r="Z79" s="16" t="inlineStr">
        <is>
          <t>Sí</t>
        </is>
      </c>
      <c r="AA79" s="16" t="inlineStr">
        <is>
          <t>5</t>
        </is>
      </c>
      <c r="AB79" s="16" t="inlineStr">
        <is>
          <t>3</t>
        </is>
      </c>
      <c r="AC79" s="16" t="inlineStr">
        <is>
          <t>Inglés; Portugués</t>
        </is>
      </c>
      <c r="AE79" s="16" t="inlineStr">
        <is>
          <t>Español</t>
        </is>
      </c>
      <c r="AG79" s="16" t="inlineStr">
        <is>
          <t>Argentina</t>
        </is>
      </c>
      <c r="AI79" s="16" t="inlineStr">
        <is>
          <t>Regular</t>
        </is>
      </c>
      <c r="AJ79" s="16" t="n">
        <v>7</v>
      </c>
      <c r="AK79" s="16" t="inlineStr">
        <is>
          <t>Viaje internacional</t>
        </is>
      </c>
      <c r="AL79" s="16" t="inlineStr">
        <is>
          <t>Quincenalmente</t>
        </is>
      </c>
      <c r="AN79" s="16" t="inlineStr">
        <is>
          <t>Una vez a la semana</t>
        </is>
      </c>
      <c r="AP79" s="16" t="inlineStr">
        <is>
          <t>Otro</t>
        </is>
      </c>
      <c r="AR79" s="16" t="inlineStr">
        <is>
          <t>Conforme</t>
        </is>
      </c>
      <c r="AS79" s="16" t="inlineStr">
        <is>
          <t>Sí</t>
        </is>
      </c>
      <c r="AT79" s="16" t="n">
        <v>7.8</v>
      </c>
      <c r="AU79" s="16" t="inlineStr">
        <is>
          <t>Sí</t>
        </is>
      </c>
      <c r="AV79" s="16" t="inlineStr">
        <is>
          <t>Estaciones de servicio; Paradores</t>
        </is>
      </c>
      <c r="AX79" s="16" t="n">
        <v>6.2</v>
      </c>
      <c r="AY79" s="16" t="inlineStr">
        <is>
          <t>Varias veces por semana</t>
        </is>
      </c>
      <c r="AZ79" s="16" t="inlineStr">
        <is>
          <t>Café</t>
        </is>
      </c>
      <c r="BB79" s="16" t="inlineStr">
        <is>
          <t>Casi nunca</t>
        </is>
      </c>
      <c r="BC79" s="16" t="inlineStr">
        <is>
          <t>Algunas veces</t>
        </is>
      </c>
      <c r="BD79" s="16" t="inlineStr">
        <is>
          <t>No</t>
        </is>
      </c>
      <c r="BE79" s="16" t="inlineStr">
        <is>
          <t>Parcialmente</t>
        </is>
      </c>
      <c r="BF79" s="16" t="inlineStr">
        <is>
          <t>Ninguna</t>
        </is>
      </c>
      <c r="BG79" s="16" t="inlineStr">
        <is>
          <t>Sistema privado</t>
        </is>
      </c>
      <c r="BH79" s="16" t="inlineStr">
        <is>
          <t>Una vez al año</t>
        </is>
      </c>
      <c r="BI79" s="16" t="inlineStr">
        <is>
          <t>Sistema público; Otros (medicina tradicional, alternativa, etc.)</t>
        </is>
      </c>
      <c r="BJ79" s="16" t="inlineStr">
        <is>
          <t>Sí</t>
        </is>
      </c>
      <c r="BK79" s="16" t="inlineStr">
        <is>
          <t>Rodillas</t>
        </is>
      </c>
      <c r="BL79" s="16" t="inlineStr">
        <is>
          <t>Ninguno</t>
        </is>
      </c>
      <c r="BN79" s="16" t="inlineStr">
        <is>
          <t>Obesidad</t>
        </is>
      </c>
      <c r="BP79" s="16" t="inlineStr">
        <is>
          <t>2 a 3 veces por semana</t>
        </is>
      </c>
      <c r="BQ79" s="16" t="inlineStr">
        <is>
          <t>No</t>
        </is>
      </c>
      <c r="BS79" s="16" t="inlineStr">
        <is>
          <t>Sí</t>
        </is>
      </c>
      <c r="BT79" s="16" t="inlineStr">
        <is>
          <t>No</t>
        </is>
      </c>
      <c r="BU79" s="16" t="inlineStr">
        <is>
          <t>Siempre</t>
        </is>
      </c>
      <c r="BV79" s="16" t="inlineStr">
        <is>
          <t>Sí</t>
        </is>
      </c>
      <c r="BW79" s="16" t="inlineStr">
        <is>
          <t>No</t>
        </is>
      </c>
      <c r="BX79" s="16" t="inlineStr">
        <is>
          <t>Mujer</t>
        </is>
      </c>
      <c r="BY79" s="16" t="n">
        <v>99.40000000000001</v>
      </c>
      <c r="BZ79" s="16" t="n">
        <v>1.7</v>
      </c>
      <c r="CA79" s="16" t="n">
        <v>34.4</v>
      </c>
      <c r="CB79" s="16" t="n">
        <v>86</v>
      </c>
      <c r="CC79" s="16" t="n">
        <v>136</v>
      </c>
      <c r="CD79" s="16" t="n">
        <v>86</v>
      </c>
      <c r="CE79" s="16" t="inlineStr">
        <is>
          <t>Sí</t>
        </is>
      </c>
      <c r="CF79" s="16" t="inlineStr">
        <is>
          <t>No</t>
        </is>
      </c>
      <c r="CG79" s="16" t="inlineStr">
        <is>
          <t>No</t>
        </is>
      </c>
      <c r="CH79" s="16" t="inlineStr">
        <is>
          <t>No</t>
        </is>
      </c>
      <c r="CI79" s="16" t="inlineStr">
        <is>
          <t>No</t>
        </is>
      </c>
      <c r="CJ79" s="16" t="inlineStr">
        <is>
          <t>Sí, parientes lejanos</t>
        </is>
      </c>
      <c r="CK79" s="16" t="inlineStr">
        <is>
          <t>Sí</t>
        </is>
      </c>
      <c r="CL79" s="16" t="inlineStr">
        <is>
          <t>No</t>
        </is>
      </c>
      <c r="CR79" s="16" t="inlineStr">
        <is>
          <t>Sí</t>
        </is>
      </c>
      <c r="CS79" s="16" t="n">
        <v>14</v>
      </c>
      <c r="CT79" s="16" t="inlineStr">
        <is>
          <t>Moderado</t>
        </is>
      </c>
      <c r="CU79" s="16" t="inlineStr">
        <is>
          <t>17 %</t>
        </is>
      </c>
      <c r="CV79" s="16" t="inlineStr">
        <is>
          <t>Sí</t>
        </is>
      </c>
      <c r="CW79" s="16" t="n">
        <v>21</v>
      </c>
      <c r="CX79" s="16" t="inlineStr">
        <is>
          <t>14</t>
        </is>
      </c>
      <c r="CY79" s="16" t="inlineStr">
        <is>
          <t>Moderado</t>
        </is>
      </c>
    </row>
    <row r="80">
      <c r="A80" s="16" t="inlineStr">
        <is>
          <t>demo-79</t>
        </is>
      </c>
      <c r="B80" s="16" t="inlineStr">
        <is>
          <t>C1-0079</t>
        </is>
      </c>
      <c r="C80" s="16" t="inlineStr">
        <is>
          <t>478-64-4630</t>
        </is>
      </c>
      <c r="D80" s="16" t="n">
        <v>478</v>
      </c>
      <c r="E80" s="16" t="n">
        <v>64</v>
      </c>
      <c r="F80" s="16" t="inlineStr">
        <is>
          <t>4630</t>
        </is>
      </c>
      <c r="G80" s="17" t="n">
        <v>46290</v>
      </c>
      <c r="H80" s="16" t="inlineStr">
        <is>
          <t>12:01</t>
        </is>
      </c>
      <c r="J80" s="16" t="inlineStr">
        <is>
          <t>C</t>
        </is>
      </c>
      <c r="K80" s="16" t="inlineStr">
        <is>
          <t>1</t>
        </is>
      </c>
      <c r="L80" s="16" t="inlineStr">
        <is>
          <t>Encuestador C</t>
        </is>
      </c>
      <c r="M80" s="16" t="inlineStr">
        <is>
          <t>Puesto 2</t>
        </is>
      </c>
      <c r="N80" s="16" t="inlineStr">
        <is>
          <t>Sí</t>
        </is>
      </c>
      <c r="O80" s="16" t="inlineStr">
        <is>
          <t>Sí</t>
        </is>
      </c>
      <c r="P80" s="16" t="n">
        <v>39</v>
      </c>
      <c r="Q80" s="16" t="inlineStr">
        <is>
          <t>Sí</t>
        </is>
      </c>
      <c r="R80" s="16" t="inlineStr">
        <is>
          <t>Sí</t>
        </is>
      </c>
      <c r="S80" s="16" t="inlineStr">
        <is>
          <t>Sí</t>
        </is>
      </c>
      <c r="T80" s="16" t="inlineStr">
        <is>
          <t>finalizado</t>
        </is>
      </c>
      <c r="U80" s="16" t="inlineStr">
        <is>
          <t>2026-10-v2</t>
        </is>
      </c>
      <c r="V80" s="16" t="inlineStr">
        <is>
          <t>2026-09-25T15:00:00.000Z</t>
        </is>
      </c>
      <c r="W80" s="16" t="inlineStr">
        <is>
          <t>Chile</t>
        </is>
      </c>
      <c r="Y80" s="16" t="inlineStr">
        <is>
          <t>Universitario incompleto</t>
        </is>
      </c>
      <c r="Z80" s="16" t="inlineStr">
        <is>
          <t>No</t>
        </is>
      </c>
      <c r="AA80" s="16" t="inlineStr">
        <is>
          <t>Más de 5</t>
        </is>
      </c>
      <c r="AB80" s="16" t="inlineStr">
        <is>
          <t>2</t>
        </is>
      </c>
      <c r="AC80" s="16" t="inlineStr">
        <is>
          <t>Español</t>
        </is>
      </c>
      <c r="AE80" s="16" t="inlineStr">
        <is>
          <t>Español</t>
        </is>
      </c>
      <c r="AG80" s="16" t="inlineStr">
        <is>
          <t>Argentina</t>
        </is>
      </c>
      <c r="AI80" s="16" t="inlineStr">
        <is>
          <t>Bueno</t>
        </is>
      </c>
      <c r="AJ80" s="16" t="n">
        <v>11</v>
      </c>
      <c r="AK80" s="16" t="inlineStr">
        <is>
          <t>Viaje interprovincial</t>
        </is>
      </c>
      <c r="AL80" s="16" t="inlineStr">
        <is>
          <t>2 veces por semana</t>
        </is>
      </c>
      <c r="AN80" s="16" t="inlineStr">
        <is>
          <t>Diariamente</t>
        </is>
      </c>
      <c r="AP80" s="16" t="inlineStr">
        <is>
          <t>Dueño del camión</t>
        </is>
      </c>
      <c r="AR80" s="16" t="inlineStr">
        <is>
          <t>Disconforme</t>
        </is>
      </c>
      <c r="AS80" s="16" t="inlineStr">
        <is>
          <t>Sí</t>
        </is>
      </c>
      <c r="AT80" s="16" t="n">
        <v>6.5</v>
      </c>
      <c r="AU80" s="16" t="inlineStr">
        <is>
          <t>Sí</t>
        </is>
      </c>
      <c r="AV80" s="16" t="inlineStr">
        <is>
          <t>En el camión al costado de la ruta</t>
        </is>
      </c>
      <c r="AX80" s="16" t="n">
        <v>6.6</v>
      </c>
      <c r="AY80" s="16" t="inlineStr">
        <is>
          <t>Todos los días</t>
        </is>
      </c>
      <c r="AZ80" s="16" t="inlineStr">
        <is>
          <t>Mate</t>
        </is>
      </c>
      <c r="BB80" s="16" t="inlineStr">
        <is>
          <t>Nunca</t>
        </is>
      </c>
      <c r="BC80" s="16" t="inlineStr">
        <is>
          <t>Sí</t>
        </is>
      </c>
      <c r="BD80" s="16" t="inlineStr">
        <is>
          <t>No</t>
        </is>
      </c>
      <c r="BE80" s="16" t="inlineStr">
        <is>
          <t>Sí</t>
        </is>
      </c>
      <c r="BF80" s="16" t="inlineStr">
        <is>
          <t>Obra social</t>
        </is>
      </c>
      <c r="BG80" s="16" t="inlineStr">
        <is>
          <t>Ninguno</t>
        </is>
      </c>
      <c r="BH80" s="16" t="inlineStr">
        <is>
          <t>Una vez al año</t>
        </is>
      </c>
      <c r="BI80" s="16" t="inlineStr">
        <is>
          <t>Sistema privado</t>
        </is>
      </c>
      <c r="BJ80" s="16" t="inlineStr">
        <is>
          <t>No</t>
        </is>
      </c>
      <c r="BL80" s="16" t="inlineStr">
        <is>
          <t>Medicamentos; Hierbas</t>
        </is>
      </c>
      <c r="BM80" s="16" t="inlineStr">
        <is>
          <t>Ibuprofeno</t>
        </is>
      </c>
      <c r="BN80" s="16" t="inlineStr">
        <is>
          <t>No tengo diagnóstico de enfermedad</t>
        </is>
      </c>
      <c r="BP80" s="16" t="inlineStr">
        <is>
          <t>2 a 3 veces por semana</t>
        </is>
      </c>
      <c r="BQ80" s="16" t="inlineStr">
        <is>
          <t>Café; Coca-Cola</t>
        </is>
      </c>
      <c r="BS80" s="16" t="inlineStr">
        <is>
          <t>Sí</t>
        </is>
      </c>
      <c r="BT80" s="16" t="inlineStr">
        <is>
          <t>No</t>
        </is>
      </c>
      <c r="BU80" s="16" t="inlineStr">
        <is>
          <t>Siempre</t>
        </is>
      </c>
      <c r="BV80" s="16" t="inlineStr">
        <is>
          <t>No</t>
        </is>
      </c>
      <c r="BW80" s="16" t="inlineStr">
        <is>
          <t>No</t>
        </is>
      </c>
      <c r="BX80" s="16" t="inlineStr">
        <is>
          <t>Varón</t>
        </is>
      </c>
      <c r="BY80" s="16" t="n">
        <v>70.5</v>
      </c>
      <c r="BZ80" s="16" t="n">
        <v>1.65</v>
      </c>
      <c r="CA80" s="16" t="n">
        <v>25.9</v>
      </c>
      <c r="CB80" s="16" t="n">
        <v>78</v>
      </c>
      <c r="CC80" s="16" t="n">
        <v>170</v>
      </c>
      <c r="CD80" s="16" t="n">
        <v>107</v>
      </c>
      <c r="CE80" s="16" t="inlineStr">
        <is>
          <t>Sí</t>
        </is>
      </c>
      <c r="CF80" s="16" t="inlineStr">
        <is>
          <t>Sí</t>
        </is>
      </c>
      <c r="CG80" s="16" t="inlineStr">
        <is>
          <t>No</t>
        </is>
      </c>
      <c r="CH80" s="16" t="inlineStr">
        <is>
          <t>Sí</t>
        </is>
      </c>
      <c r="CI80" s="16" t="inlineStr">
        <is>
          <t>No</t>
        </is>
      </c>
      <c r="CJ80" s="16" t="inlineStr">
        <is>
          <t>No</t>
        </is>
      </c>
      <c r="CK80" s="16" t="inlineStr">
        <is>
          <t>Sí</t>
        </is>
      </c>
      <c r="CL80" s="16" t="inlineStr">
        <is>
          <t>Sí</t>
        </is>
      </c>
      <c r="CM80" s="16" t="inlineStr">
        <is>
          <t>07:19</t>
        </is>
      </c>
      <c r="CN80" s="16" t="inlineStr">
        <is>
          <t>Mate</t>
        </is>
      </c>
      <c r="CO80" s="16" t="inlineStr">
        <is>
          <t>13:30</t>
        </is>
      </c>
      <c r="CP80" s="16" t="n">
        <v>111</v>
      </c>
      <c r="CQ80" s="16" t="n">
        <v>371</v>
      </c>
      <c r="CR80" s="16" t="inlineStr">
        <is>
          <t>Sí</t>
        </is>
      </c>
      <c r="CS80" s="16" t="n">
        <v>6</v>
      </c>
      <c r="CT80" s="16" t="inlineStr">
        <is>
          <t>Bajo</t>
        </is>
      </c>
      <c r="CU80" s="16" t="inlineStr">
        <is>
          <t>1 %</t>
        </is>
      </c>
      <c r="CV80" s="16" t="inlineStr">
        <is>
          <t>Sí</t>
        </is>
      </c>
      <c r="CW80" s="16" t="n">
        <v>15</v>
      </c>
      <c r="CX80" s="16" t="inlineStr">
        <is>
          <t>20</t>
        </is>
      </c>
      <c r="CY80" s="16" t="inlineStr">
        <is>
          <t>Alto</t>
        </is>
      </c>
    </row>
    <row r="81">
      <c r="A81" s="16" t="inlineStr">
        <is>
          <t>demo-80</t>
        </is>
      </c>
      <c r="B81" s="16" t="inlineStr">
        <is>
          <t>C1-0080</t>
        </is>
      </c>
      <c r="C81" s="16" t="inlineStr">
        <is>
          <t>479-56-4612</t>
        </is>
      </c>
      <c r="D81" s="16" t="n">
        <v>479</v>
      </c>
      <c r="E81" s="16" t="n">
        <v>56</v>
      </c>
      <c r="F81" s="16" t="inlineStr">
        <is>
          <t>4612</t>
        </is>
      </c>
      <c r="G81" s="17" t="n">
        <v>46289</v>
      </c>
      <c r="H81" s="16" t="inlineStr">
        <is>
          <t>17:07</t>
        </is>
      </c>
      <c r="J81" s="16" t="inlineStr">
        <is>
          <t>C</t>
        </is>
      </c>
      <c r="K81" s="16" t="inlineStr">
        <is>
          <t>1</t>
        </is>
      </c>
      <c r="L81" s="16" t="inlineStr">
        <is>
          <t>Encuestador C</t>
        </is>
      </c>
      <c r="M81" s="16" t="inlineStr">
        <is>
          <t>Puesto 2</t>
        </is>
      </c>
      <c r="N81" s="16" t="inlineStr">
        <is>
          <t>Sí</t>
        </is>
      </c>
      <c r="O81" s="16" t="inlineStr">
        <is>
          <t>No</t>
        </is>
      </c>
      <c r="P81" s="16" t="n">
        <v>39</v>
      </c>
      <c r="Q81" s="16" t="inlineStr">
        <is>
          <t>Sí</t>
        </is>
      </c>
      <c r="R81" s="16" t="inlineStr">
        <is>
          <t>Sí</t>
        </is>
      </c>
      <c r="S81" s="16" t="inlineStr">
        <is>
          <t>Sí</t>
        </is>
      </c>
      <c r="T81" s="16" t="inlineStr">
        <is>
          <t>finalizado</t>
        </is>
      </c>
      <c r="U81" s="16" t="inlineStr">
        <is>
          <t>2026-10-v2</t>
        </is>
      </c>
      <c r="V81" s="16" t="inlineStr">
        <is>
          <t>2026-09-24T15:00:00.000Z</t>
        </is>
      </c>
      <c r="W81" s="16" t="inlineStr">
        <is>
          <t>Argentina</t>
        </is>
      </c>
      <c r="Y81" s="16" t="inlineStr">
        <is>
          <t>Universitario incompleto</t>
        </is>
      </c>
      <c r="Z81" s="16" t="inlineStr">
        <is>
          <t>Sí</t>
        </is>
      </c>
      <c r="AA81" s="16" t="inlineStr">
        <is>
          <t>2</t>
        </is>
      </c>
      <c r="AB81" s="16" t="inlineStr">
        <is>
          <t>3</t>
        </is>
      </c>
      <c r="AC81" s="16" t="inlineStr">
        <is>
          <t>Español</t>
        </is>
      </c>
      <c r="AE81" s="16" t="inlineStr">
        <is>
          <t>Español</t>
        </is>
      </c>
      <c r="AG81" s="16" t="inlineStr">
        <is>
          <t>Argentina</t>
        </is>
      </c>
      <c r="AI81" s="16" t="inlineStr">
        <is>
          <t>Bueno</t>
        </is>
      </c>
      <c r="AJ81" s="16" t="n">
        <v>35</v>
      </c>
      <c r="AK81" s="16" t="inlineStr">
        <is>
          <t>Viaje provincial (Jujuy)</t>
        </is>
      </c>
      <c r="AL81" s="16" t="inlineStr">
        <is>
          <t>Una vez al mes</t>
        </is>
      </c>
      <c r="AN81" s="16" t="inlineStr">
        <is>
          <t>Diariamente</t>
        </is>
      </c>
      <c r="AP81" s="16" t="inlineStr">
        <is>
          <t>Empleado</t>
        </is>
      </c>
      <c r="AR81" s="16" t="inlineStr">
        <is>
          <t>Disconforme</t>
        </is>
      </c>
      <c r="AS81" s="16" t="inlineStr">
        <is>
          <t>Duda</t>
        </is>
      </c>
      <c r="AT81" s="16" t="n">
        <v>6.2</v>
      </c>
      <c r="AU81" s="16" t="inlineStr">
        <is>
          <t>Sí</t>
        </is>
      </c>
      <c r="AV81" s="16" t="inlineStr">
        <is>
          <t>Estaciones de servicio</t>
        </is>
      </c>
      <c r="AX81" s="16" t="n">
        <v>4.7</v>
      </c>
      <c r="AY81" s="16" t="inlineStr">
        <is>
          <t>Casi nunca</t>
        </is>
      </c>
      <c r="AZ81" s="16" t="inlineStr">
        <is>
          <t>Café</t>
        </is>
      </c>
      <c r="BB81" s="16" t="inlineStr">
        <is>
          <t>A veces</t>
        </is>
      </c>
      <c r="BC81" s="16" t="inlineStr">
        <is>
          <t>Algunas veces</t>
        </is>
      </c>
      <c r="BD81" s="16" t="inlineStr">
        <is>
          <t>No</t>
        </is>
      </c>
      <c r="BE81" s="16" t="inlineStr">
        <is>
          <t>No</t>
        </is>
      </c>
      <c r="BF81" s="16" t="inlineStr">
        <is>
          <t>Obra social</t>
        </is>
      </c>
      <c r="BG81" s="16" t="inlineStr">
        <is>
          <t>Sistema público</t>
        </is>
      </c>
      <c r="BH81" s="16" t="inlineStr">
        <is>
          <t>Nunca</t>
        </is>
      </c>
      <c r="BI81" s="16" t="inlineStr">
        <is>
          <t>Sistema privado</t>
        </is>
      </c>
      <c r="BJ81" s="16" t="inlineStr">
        <is>
          <t>No</t>
        </is>
      </c>
      <c r="BL81" s="16" t="inlineStr">
        <is>
          <t>Medicamentos</t>
        </is>
      </c>
      <c r="BM81" s="16" t="inlineStr">
        <is>
          <t>Ibuprofeno</t>
        </is>
      </c>
      <c r="BN81" s="16" t="inlineStr">
        <is>
          <t>Musculoesqueléticos; Digestivas</t>
        </is>
      </c>
      <c r="BP81" s="16" t="inlineStr">
        <is>
          <t>2 a 3 veces por semana</t>
        </is>
      </c>
      <c r="BQ81" s="16" t="inlineStr">
        <is>
          <t>Energizantes (Speed, Monster, Red Bull, etc.)</t>
        </is>
      </c>
      <c r="BS81" s="16" t="inlineStr">
        <is>
          <t>Sí</t>
        </is>
      </c>
      <c r="BT81" s="16" t="inlineStr">
        <is>
          <t>No</t>
        </is>
      </c>
      <c r="BU81" s="16" t="inlineStr">
        <is>
          <t>A veces</t>
        </is>
      </c>
      <c r="BV81" s="16" t="inlineStr">
        <is>
          <t>No</t>
        </is>
      </c>
      <c r="BW81" s="16" t="inlineStr">
        <is>
          <t>No</t>
        </is>
      </c>
      <c r="BX81" s="16" t="inlineStr">
        <is>
          <t>Varón</t>
        </is>
      </c>
      <c r="BY81" s="16" t="n">
        <v>118.3</v>
      </c>
      <c r="BZ81" s="16" t="n">
        <v>1.82</v>
      </c>
      <c r="CA81" s="16" t="n">
        <v>35.7</v>
      </c>
      <c r="CB81" s="16" t="n">
        <v>90</v>
      </c>
      <c r="CC81" s="16" t="n">
        <v>141</v>
      </c>
      <c r="CD81" s="16" t="n">
        <v>89</v>
      </c>
      <c r="CE81" s="16" t="inlineStr">
        <is>
          <t>Sí</t>
        </is>
      </c>
      <c r="CF81" s="16" t="inlineStr">
        <is>
          <t>No</t>
        </is>
      </c>
      <c r="CG81" s="16" t="inlineStr">
        <is>
          <t>No</t>
        </is>
      </c>
      <c r="CH81" s="16" t="inlineStr">
        <is>
          <t>No</t>
        </is>
      </c>
      <c r="CI81" s="16" t="inlineStr">
        <is>
          <t>No</t>
        </is>
      </c>
      <c r="CJ81" s="16" t="inlineStr">
        <is>
          <t>No</t>
        </is>
      </c>
      <c r="CK81" s="16" t="inlineStr">
        <is>
          <t>No</t>
        </is>
      </c>
      <c r="CL81" s="16" t="inlineStr">
        <is>
          <t>Sí</t>
        </is>
      </c>
      <c r="CM81" s="16" t="inlineStr">
        <is>
          <t>07:37</t>
        </is>
      </c>
      <c r="CN81" s="16" t="inlineStr">
        <is>
          <t>Mate</t>
        </is>
      </c>
      <c r="CO81" s="16" t="inlineStr">
        <is>
          <t>10:30</t>
        </is>
      </c>
      <c r="CP81" s="16" t="n">
        <v>114</v>
      </c>
      <c r="CQ81" s="16" t="n">
        <v>173</v>
      </c>
      <c r="CR81" s="16" t="inlineStr">
        <is>
          <t>Sí</t>
        </is>
      </c>
      <c r="CS81" s="16" t="n">
        <v>7</v>
      </c>
      <c r="CT81" s="16" t="inlineStr">
        <is>
          <t>Ligeramente elevado</t>
        </is>
      </c>
      <c r="CU81" s="16" t="inlineStr">
        <is>
          <t>4 %</t>
        </is>
      </c>
      <c r="CV81" s="16" t="inlineStr">
        <is>
          <t>Sí</t>
        </is>
      </c>
      <c r="CW81" s="16" t="n">
        <v>11</v>
      </c>
      <c r="CX81" s="16" t="inlineStr">
        <is>
          <t>8</t>
        </is>
      </c>
      <c r="CY81" s="16" t="inlineStr">
        <is>
          <t>Bajo</t>
        </is>
      </c>
    </row>
    <row r="82">
      <c r="A82" s="16" t="inlineStr">
        <is>
          <t>demo-81</t>
        </is>
      </c>
      <c r="B82" s="16" t="inlineStr">
        <is>
          <t>C1-0081</t>
        </is>
      </c>
      <c r="C82" s="16" t="inlineStr">
        <is>
          <t>480-39-4400</t>
        </is>
      </c>
      <c r="D82" s="16" t="n">
        <v>480</v>
      </c>
      <c r="E82" s="16" t="n">
        <v>39</v>
      </c>
      <c r="F82" s="16" t="inlineStr">
        <is>
          <t>4400</t>
        </is>
      </c>
      <c r="G82" s="17" t="n">
        <v>46301</v>
      </c>
      <c r="H82" s="16" t="inlineStr">
        <is>
          <t>17:07</t>
        </is>
      </c>
      <c r="J82" s="16" t="inlineStr">
        <is>
          <t>C</t>
        </is>
      </c>
      <c r="K82" s="16" t="inlineStr">
        <is>
          <t>1</t>
        </is>
      </c>
      <c r="L82" s="16" t="inlineStr">
        <is>
          <t>Encuestador C</t>
        </is>
      </c>
      <c r="M82" s="16" t="inlineStr">
        <is>
          <t>Puesto 2</t>
        </is>
      </c>
      <c r="N82" s="16" t="inlineStr">
        <is>
          <t>Sí</t>
        </is>
      </c>
      <c r="O82" s="16" t="inlineStr">
        <is>
          <t>No</t>
        </is>
      </c>
      <c r="P82" s="16" t="n">
        <v>39</v>
      </c>
      <c r="Q82" s="16" t="inlineStr">
        <is>
          <t>Sí</t>
        </is>
      </c>
      <c r="R82" s="16" t="inlineStr">
        <is>
          <t>No</t>
        </is>
      </c>
      <c r="S82" s="16" t="inlineStr">
        <is>
          <t>No</t>
        </is>
      </c>
      <c r="T82" s="16" t="inlineStr">
        <is>
          <t>borrador</t>
        </is>
      </c>
      <c r="U82" s="16" t="inlineStr">
        <is>
          <t>2026-10-v2</t>
        </is>
      </c>
      <c r="V82" s="16" t="inlineStr">
        <is>
          <t>2026-10-06T15:00:00.000Z</t>
        </is>
      </c>
      <c r="W82" s="16" t="inlineStr">
        <is>
          <t>Argentina</t>
        </is>
      </c>
      <c r="Y82" s="16" t="inlineStr">
        <is>
          <t>Secundaria completa</t>
        </is>
      </c>
      <c r="Z82" s="16" t="inlineStr">
        <is>
          <t>Sí</t>
        </is>
      </c>
      <c r="AA82" s="16" t="inlineStr">
        <is>
          <t>3</t>
        </is>
      </c>
      <c r="AB82" s="16" t="inlineStr">
        <is>
          <t>3</t>
        </is>
      </c>
      <c r="AC82" s="16" t="inlineStr">
        <is>
          <t>Inglés</t>
        </is>
      </c>
      <c r="AE82" s="16" t="inlineStr">
        <is>
          <t>Español</t>
        </is>
      </c>
      <c r="AG82" s="16" t="inlineStr">
        <is>
          <t>Argentina</t>
        </is>
      </c>
      <c r="AI82" s="16" t="inlineStr">
        <is>
          <t>Malo</t>
        </is>
      </c>
      <c r="AJ82" s="16" t="n">
        <v>10</v>
      </c>
      <c r="AK82" s="16" t="inlineStr">
        <is>
          <t>Viaje internacional</t>
        </is>
      </c>
      <c r="AL82" s="16" t="inlineStr">
        <is>
          <t>Quincenalmente</t>
        </is>
      </c>
      <c r="AN82" s="16" t="inlineStr">
        <is>
          <t>2 veces por semana</t>
        </is>
      </c>
      <c r="AP82" s="16" t="inlineStr">
        <is>
          <t>Dueño del camión</t>
        </is>
      </c>
      <c r="AR82" s="16" t="inlineStr">
        <is>
          <t>Conforme</t>
        </is>
      </c>
      <c r="AS82" s="16" t="inlineStr">
        <is>
          <t>Sí</t>
        </is>
      </c>
      <c r="AT82" s="16" t="n">
        <v>6.7</v>
      </c>
      <c r="AU82" s="16" t="inlineStr">
        <is>
          <t>No</t>
        </is>
      </c>
      <c r="AV82" s="16" t="inlineStr">
        <is>
          <t>Estaciones de servicio; Paradores</t>
        </is>
      </c>
      <c r="AX82" s="16" t="n">
        <v>4.2</v>
      </c>
      <c r="AY82" s="16" t="inlineStr">
        <is>
          <t>Casi nunca</t>
        </is>
      </c>
      <c r="AZ82" s="16" t="inlineStr">
        <is>
          <t>Gaseosas; Mate</t>
        </is>
      </c>
      <c r="BB82" s="16" t="inlineStr">
        <is>
          <t>A veces</t>
        </is>
      </c>
      <c r="BC82" s="16" t="inlineStr">
        <is>
          <t>No</t>
        </is>
      </c>
      <c r="BD82" s="16" t="inlineStr">
        <is>
          <t>No</t>
        </is>
      </c>
      <c r="BE82" s="16" t="inlineStr">
        <is>
          <t>Sí</t>
        </is>
      </c>
      <c r="BF82" s="16" t="inlineStr">
        <is>
          <t>Obra social</t>
        </is>
      </c>
      <c r="BG82" s="16" t="inlineStr">
        <is>
          <t>Sistema privado</t>
        </is>
      </c>
      <c r="BH82" s="16" t="inlineStr">
        <is>
          <t>Nunca</t>
        </is>
      </c>
      <c r="BI82" s="16" t="inlineStr">
        <is>
          <t>Sistema público</t>
        </is>
      </c>
      <c r="BJ82" s="16" t="inlineStr">
        <is>
          <t>Sí</t>
        </is>
      </c>
      <c r="BK82" s="16" t="inlineStr">
        <is>
          <t>Lumbar</t>
        </is>
      </c>
      <c r="BL82" s="16" t="inlineStr">
        <is>
          <t>Medicamentos</t>
        </is>
      </c>
      <c r="BM82" s="16" t="inlineStr">
        <is>
          <t>Ibuprofeno</t>
        </is>
      </c>
      <c r="BN82" s="16" t="inlineStr">
        <is>
          <t>No tengo diagnóstico de enfermedad</t>
        </is>
      </c>
      <c r="BP82" s="16" t="inlineStr">
        <is>
          <t>Rara vez</t>
        </is>
      </c>
      <c r="BQ82" s="16" t="inlineStr">
        <is>
          <t>No</t>
        </is>
      </c>
      <c r="BS82" s="16" t="inlineStr">
        <is>
          <t>No</t>
        </is>
      </c>
      <c r="BT82" s="16" t="inlineStr">
        <is>
          <t>Sí</t>
        </is>
      </c>
      <c r="BU82" s="16" t="inlineStr">
        <is>
          <t>A veces</t>
        </is>
      </c>
      <c r="BV82" s="16" t="inlineStr">
        <is>
          <t>No</t>
        </is>
      </c>
    </row>
    <row r="83">
      <c r="A83" s="16" t="inlineStr">
        <is>
          <t>demo-82</t>
        </is>
      </c>
      <c r="B83" s="16" t="inlineStr">
        <is>
          <t>B1-0082</t>
        </is>
      </c>
      <c r="C83" s="16" t="inlineStr">
        <is>
          <t>281-52-4600</t>
        </is>
      </c>
      <c r="D83" s="16" t="n">
        <v>281</v>
      </c>
      <c r="E83" s="16" t="n">
        <v>52</v>
      </c>
      <c r="F83" s="16" t="inlineStr">
        <is>
          <t>4600</t>
        </is>
      </c>
      <c r="G83" s="17" t="n">
        <v>46289</v>
      </c>
      <c r="H83" s="16" t="inlineStr">
        <is>
          <t>13:08</t>
        </is>
      </c>
      <c r="J83" s="16" t="inlineStr">
        <is>
          <t>B</t>
        </is>
      </c>
      <c r="K83" s="16" t="inlineStr">
        <is>
          <t>1</t>
        </is>
      </c>
      <c r="L83" s="16" t="inlineStr">
        <is>
          <t>Encuestador B</t>
        </is>
      </c>
      <c r="M83" s="16" t="inlineStr">
        <is>
          <t>Puesto 1</t>
        </is>
      </c>
      <c r="N83" s="16" t="inlineStr">
        <is>
          <t>Sí</t>
        </is>
      </c>
      <c r="O83" s="16" t="inlineStr">
        <is>
          <t>Sí</t>
        </is>
      </c>
      <c r="P83" s="16" t="n">
        <v>39</v>
      </c>
      <c r="Q83" s="16" t="inlineStr">
        <is>
          <t>Sí</t>
        </is>
      </c>
      <c r="R83" s="16" t="inlineStr">
        <is>
          <t>Sí</t>
        </is>
      </c>
      <c r="S83" s="16" t="inlineStr">
        <is>
          <t>No</t>
        </is>
      </c>
      <c r="T83" s="16" t="inlineStr">
        <is>
          <t>finalizado</t>
        </is>
      </c>
      <c r="U83" s="16" t="inlineStr">
        <is>
          <t>2026-10-v2</t>
        </is>
      </c>
      <c r="V83" s="16" t="inlineStr">
        <is>
          <t>2026-09-24T15:00:00.000Z</t>
        </is>
      </c>
      <c r="W83" s="16" t="inlineStr">
        <is>
          <t>Argentina</t>
        </is>
      </c>
      <c r="Y83" s="16" t="inlineStr">
        <is>
          <t>Universitario completo</t>
        </is>
      </c>
      <c r="Z83" s="16" t="inlineStr">
        <is>
          <t>No</t>
        </is>
      </c>
      <c r="AA83" s="16" t="inlineStr">
        <is>
          <t>5</t>
        </is>
      </c>
      <c r="AB83" s="16" t="inlineStr">
        <is>
          <t>Más de 5</t>
        </is>
      </c>
      <c r="AC83" s="16" t="inlineStr">
        <is>
          <t>Guaraní</t>
        </is>
      </c>
      <c r="AE83" s="16" t="inlineStr">
        <is>
          <t>Español</t>
        </is>
      </c>
      <c r="AG83" s="16" t="inlineStr">
        <is>
          <t>Argentina</t>
        </is>
      </c>
      <c r="AI83" s="16" t="inlineStr">
        <is>
          <t>Regular</t>
        </is>
      </c>
      <c r="AJ83" s="16" t="n">
        <v>12</v>
      </c>
      <c r="AK83" s="16" t="inlineStr">
        <is>
          <t>Viaje internacional</t>
        </is>
      </c>
      <c r="AL83" s="16" t="inlineStr">
        <is>
          <t>2 veces por semana</t>
        </is>
      </c>
      <c r="AN83" s="16" t="inlineStr">
        <is>
          <t>Una vez a la semana</t>
        </is>
      </c>
      <c r="AP83" s="16" t="inlineStr">
        <is>
          <t>Empleado</t>
        </is>
      </c>
      <c r="AR83" s="16" t="inlineStr">
        <is>
          <t>Disconforme</t>
        </is>
      </c>
      <c r="AS83" s="16" t="inlineStr">
        <is>
          <t>No</t>
        </is>
      </c>
      <c r="AT83" s="16" t="n">
        <v>4.9</v>
      </c>
      <c r="AU83" s="16" t="inlineStr">
        <is>
          <t>Sí</t>
        </is>
      </c>
      <c r="AV83" s="16" t="inlineStr">
        <is>
          <t>Paradores</t>
        </is>
      </c>
      <c r="AX83" s="16" t="n">
        <v>6.7</v>
      </c>
      <c r="AY83" s="16" t="inlineStr">
        <is>
          <t>Varias veces por semana</t>
        </is>
      </c>
      <c r="AZ83" s="16" t="inlineStr">
        <is>
          <t>Gaseosas</t>
        </is>
      </c>
      <c r="BB83" s="16" t="inlineStr">
        <is>
          <t>A veces</t>
        </is>
      </c>
      <c r="BC83" s="16" t="inlineStr">
        <is>
          <t>Rara vez</t>
        </is>
      </c>
      <c r="BD83" s="16" t="inlineStr">
        <is>
          <t>No</t>
        </is>
      </c>
      <c r="BE83" s="16" t="inlineStr">
        <is>
          <t>No</t>
        </is>
      </c>
      <c r="BF83" s="16" t="inlineStr">
        <is>
          <t>Ninguna</t>
        </is>
      </c>
      <c r="BG83" s="16" t="inlineStr">
        <is>
          <t>Sistema público</t>
        </is>
      </c>
      <c r="BH83" s="16" t="inlineStr">
        <is>
          <t>2 veces al año</t>
        </is>
      </c>
      <c r="BI83" s="16" t="inlineStr">
        <is>
          <t>Sistema privado</t>
        </is>
      </c>
      <c r="BJ83" s="16" t="inlineStr">
        <is>
          <t>No</t>
        </is>
      </c>
      <c r="BL83" s="16" t="inlineStr">
        <is>
          <t>Medicamentos</t>
        </is>
      </c>
      <c r="BM83" s="16" t="inlineStr">
        <is>
          <t>Ibuprofeno</t>
        </is>
      </c>
      <c r="BN83" s="16" t="inlineStr">
        <is>
          <t>Musculoesqueléticos; Digestivas</t>
        </is>
      </c>
      <c r="BP83" s="16" t="inlineStr">
        <is>
          <t>2 a 3 veces por semana</t>
        </is>
      </c>
      <c r="BQ83" s="16" t="inlineStr">
        <is>
          <t>Yerba mate</t>
        </is>
      </c>
      <c r="BS83" s="16" t="inlineStr">
        <is>
          <t>No</t>
        </is>
      </c>
      <c r="BT83" s="16" t="inlineStr">
        <is>
          <t>No</t>
        </is>
      </c>
      <c r="BU83" s="16" t="inlineStr">
        <is>
          <t>Nunca</t>
        </is>
      </c>
      <c r="BV83" s="16" t="inlineStr">
        <is>
          <t>Sí</t>
        </is>
      </c>
      <c r="BW83" s="16" t="inlineStr">
        <is>
          <t>No</t>
        </is>
      </c>
      <c r="BX83" s="16" t="inlineStr">
        <is>
          <t>Varón</t>
        </is>
      </c>
      <c r="BY83" s="16" t="n">
        <v>98.5</v>
      </c>
      <c r="BZ83" s="16" t="n">
        <v>1.68</v>
      </c>
      <c r="CA83" s="16" t="n">
        <v>34.9</v>
      </c>
      <c r="CB83" s="16" t="n">
        <v>85</v>
      </c>
      <c r="CC83" s="16" t="n">
        <v>143</v>
      </c>
      <c r="CD83" s="16" t="n">
        <v>91</v>
      </c>
      <c r="CE83" s="16" t="inlineStr">
        <is>
          <t>Sí</t>
        </is>
      </c>
      <c r="CF83" s="16" t="inlineStr">
        <is>
          <t>No</t>
        </is>
      </c>
      <c r="CG83" s="16" t="inlineStr">
        <is>
          <t>No</t>
        </is>
      </c>
      <c r="CH83" s="16" t="inlineStr">
        <is>
          <t>No</t>
        </is>
      </c>
      <c r="CI83" s="16" t="inlineStr">
        <is>
          <t>No</t>
        </is>
      </c>
      <c r="CJ83" s="16" t="inlineStr">
        <is>
          <t>No</t>
        </is>
      </c>
      <c r="CK83" s="16" t="inlineStr">
        <is>
          <t>No</t>
        </is>
      </c>
      <c r="CL83" s="16" t="inlineStr">
        <is>
          <t>No</t>
        </is>
      </c>
      <c r="CR83" s="16" t="inlineStr">
        <is>
          <t>Sí</t>
        </is>
      </c>
      <c r="CS83" s="16" t="n">
        <v>6</v>
      </c>
      <c r="CT83" s="16" t="inlineStr">
        <is>
          <t>Bajo</t>
        </is>
      </c>
      <c r="CU83" s="16" t="inlineStr">
        <is>
          <t>1 %</t>
        </is>
      </c>
      <c r="CV83" s="16" t="inlineStr">
        <is>
          <t>Sí</t>
        </is>
      </c>
      <c r="CW83" s="16" t="n">
        <v>9</v>
      </c>
      <c r="CX83" s="16" t="inlineStr">
        <is>
          <t>5</t>
        </is>
      </c>
      <c r="CY83" s="16" t="inlineStr">
        <is>
          <t>Bajo</t>
        </is>
      </c>
    </row>
    <row r="84">
      <c r="A84" s="16" t="inlineStr">
        <is>
          <t>demo-83</t>
        </is>
      </c>
      <c r="B84" s="16" t="inlineStr">
        <is>
          <t>B1-0083</t>
        </is>
      </c>
      <c r="C84" s="16" t="inlineStr">
        <is>
          <t>282-39-4600</t>
        </is>
      </c>
      <c r="D84" s="16" t="n">
        <v>282</v>
      </c>
      <c r="E84" s="16" t="n">
        <v>39</v>
      </c>
      <c r="F84" s="16" t="inlineStr">
        <is>
          <t>4600</t>
        </is>
      </c>
      <c r="G84" s="17" t="n">
        <v>46294</v>
      </c>
      <c r="H84" s="16" t="inlineStr">
        <is>
          <t>13:02</t>
        </is>
      </c>
      <c r="J84" s="16" t="inlineStr">
        <is>
          <t>B</t>
        </is>
      </c>
      <c r="K84" s="16" t="inlineStr">
        <is>
          <t>1</t>
        </is>
      </c>
      <c r="L84" s="16" t="inlineStr">
        <is>
          <t>Encuestador B</t>
        </is>
      </c>
      <c r="M84" s="16" t="inlineStr">
        <is>
          <t>Puesto 2</t>
        </is>
      </c>
      <c r="N84" s="16" t="inlineStr">
        <is>
          <t>Sí</t>
        </is>
      </c>
      <c r="O84" s="16" t="inlineStr">
        <is>
          <t>Sí</t>
        </is>
      </c>
      <c r="P84" s="16" t="n">
        <v>39</v>
      </c>
      <c r="Q84" s="16" t="inlineStr">
        <is>
          <t>Sí</t>
        </is>
      </c>
      <c r="R84" s="16" t="inlineStr">
        <is>
          <t>Sí</t>
        </is>
      </c>
      <c r="S84" s="16" t="inlineStr">
        <is>
          <t>Sí</t>
        </is>
      </c>
      <c r="T84" s="16" t="inlineStr">
        <is>
          <t>finalizado</t>
        </is>
      </c>
      <c r="U84" s="16" t="inlineStr">
        <is>
          <t>2026-10-v2</t>
        </is>
      </c>
      <c r="V84" s="16" t="inlineStr">
        <is>
          <t>2026-09-29T15:00:00.000Z</t>
        </is>
      </c>
      <c r="W84" s="16" t="inlineStr">
        <is>
          <t>Paraguay</t>
        </is>
      </c>
      <c r="Y84" s="16" t="inlineStr">
        <is>
          <t>Secundaria completa</t>
        </is>
      </c>
      <c r="Z84" s="16" t="inlineStr">
        <is>
          <t>Sí</t>
        </is>
      </c>
      <c r="AA84" s="16" t="inlineStr">
        <is>
          <t>Más de 5</t>
        </is>
      </c>
      <c r="AB84" s="16" t="inlineStr">
        <is>
          <t>5</t>
        </is>
      </c>
      <c r="AC84" s="16" t="inlineStr">
        <is>
          <t>Portugués; Inglés</t>
        </is>
      </c>
      <c r="AE84" s="16" t="inlineStr">
        <is>
          <t>Español</t>
        </is>
      </c>
      <c r="AG84" s="16" t="inlineStr">
        <is>
          <t>Argentina</t>
        </is>
      </c>
      <c r="AI84" s="16" t="inlineStr">
        <is>
          <t>Regular</t>
        </is>
      </c>
      <c r="AJ84" s="16" t="n">
        <v>14</v>
      </c>
      <c r="AK84" s="16" t="inlineStr">
        <is>
          <t>Viaje provincial (Jujuy)</t>
        </is>
      </c>
      <c r="AL84" s="16" t="inlineStr">
        <is>
          <t>Una vez al mes</t>
        </is>
      </c>
      <c r="AN84" s="16" t="inlineStr">
        <is>
          <t>Diariamente</t>
        </is>
      </c>
      <c r="AP84" s="16" t="inlineStr">
        <is>
          <t>Empleado</t>
        </is>
      </c>
      <c r="AR84" s="16" t="inlineStr">
        <is>
          <t>Conforme</t>
        </is>
      </c>
      <c r="AS84" s="16" t="inlineStr">
        <is>
          <t>Duda</t>
        </is>
      </c>
      <c r="AT84" s="16" t="n">
        <v>3.6</v>
      </c>
      <c r="AU84" s="16" t="inlineStr">
        <is>
          <t>Sí</t>
        </is>
      </c>
      <c r="AV84" s="16" t="inlineStr">
        <is>
          <t>Estaciones de servicio; Paradores</t>
        </is>
      </c>
      <c r="AX84" s="16" t="n">
        <v>4.5</v>
      </c>
      <c r="AY84" s="16" t="inlineStr">
        <is>
          <t>Casi nunca</t>
        </is>
      </c>
      <c r="AZ84" s="16" t="inlineStr">
        <is>
          <t>Gaseosas</t>
        </is>
      </c>
      <c r="BB84" s="16" t="inlineStr">
        <is>
          <t>A veces</t>
        </is>
      </c>
      <c r="BC84" s="16" t="inlineStr">
        <is>
          <t>Rara vez</t>
        </is>
      </c>
      <c r="BD84" s="16" t="inlineStr">
        <is>
          <t>No</t>
        </is>
      </c>
      <c r="BE84" s="16" t="inlineStr">
        <is>
          <t>No</t>
        </is>
      </c>
      <c r="BF84" s="16" t="inlineStr">
        <is>
          <t>Obra social</t>
        </is>
      </c>
      <c r="BG84" s="16" t="inlineStr">
        <is>
          <t>Ninguno</t>
        </is>
      </c>
      <c r="BH84" s="16" t="inlineStr">
        <is>
          <t>Una vez al año</t>
        </is>
      </c>
      <c r="BI84" s="16" t="inlineStr">
        <is>
          <t>Sistema privado</t>
        </is>
      </c>
      <c r="BJ84" s="16" t="inlineStr">
        <is>
          <t>Sí</t>
        </is>
      </c>
      <c r="BK84" s="16" t="inlineStr">
        <is>
          <t>Cervical</t>
        </is>
      </c>
      <c r="BL84" s="16" t="inlineStr">
        <is>
          <t>Medicamentos; Hierbas</t>
        </is>
      </c>
      <c r="BM84" s="16" t="inlineStr">
        <is>
          <t>Ibuprofeno</t>
        </is>
      </c>
      <c r="BN84" s="16" t="inlineStr">
        <is>
          <t>Musculoesqueléticos</t>
        </is>
      </c>
      <c r="BP84" s="16" t="inlineStr">
        <is>
          <t>2 a 3 veces por semana</t>
        </is>
      </c>
      <c r="BQ84" s="16" t="inlineStr">
        <is>
          <t>Energizantes (Speed, Monster, Red Bull, etc.)</t>
        </is>
      </c>
      <c r="BS84" s="16" t="inlineStr">
        <is>
          <t>Sí</t>
        </is>
      </c>
      <c r="BT84" s="16" t="inlineStr">
        <is>
          <t>No</t>
        </is>
      </c>
      <c r="BU84" s="16" t="inlineStr">
        <is>
          <t>A veces</t>
        </is>
      </c>
      <c r="BV84" s="16" t="inlineStr">
        <is>
          <t>No</t>
        </is>
      </c>
      <c r="BW84" s="16" t="inlineStr">
        <is>
          <t>No</t>
        </is>
      </c>
      <c r="BX84" s="16" t="inlineStr">
        <is>
          <t>Varón</t>
        </is>
      </c>
      <c r="BY84" s="16" t="n">
        <v>84.40000000000001</v>
      </c>
      <c r="BZ84" s="16" t="n">
        <v>1.83</v>
      </c>
      <c r="CA84" s="16" t="n">
        <v>25.2</v>
      </c>
      <c r="CB84" s="16" t="n">
        <v>100</v>
      </c>
      <c r="CC84" s="16" t="n">
        <v>156</v>
      </c>
      <c r="CD84" s="16" t="n">
        <v>99</v>
      </c>
      <c r="CE84" s="16" t="inlineStr">
        <is>
          <t>No</t>
        </is>
      </c>
      <c r="CF84" s="16" t="inlineStr">
        <is>
          <t>Sí</t>
        </is>
      </c>
      <c r="CG84" s="16" t="inlineStr">
        <is>
          <t>Sí</t>
        </is>
      </c>
      <c r="CH84" s="16" t="inlineStr">
        <is>
          <t>No</t>
        </is>
      </c>
      <c r="CI84" s="16" t="inlineStr">
        <is>
          <t>No</t>
        </is>
      </c>
      <c r="CJ84" s="16" t="inlineStr">
        <is>
          <t>Sí, parientes lejanos</t>
        </is>
      </c>
      <c r="CK84" s="16" t="inlineStr">
        <is>
          <t>Sí</t>
        </is>
      </c>
      <c r="CL84" s="16" t="inlineStr">
        <is>
          <t>Sí</t>
        </is>
      </c>
      <c r="CM84" s="16" t="inlineStr">
        <is>
          <t>07:48</t>
        </is>
      </c>
      <c r="CN84" s="16" t="inlineStr">
        <is>
          <t>Mate</t>
        </is>
      </c>
      <c r="CO84" s="16" t="inlineStr">
        <is>
          <t>12:30</t>
        </is>
      </c>
      <c r="CP84" s="16" t="n">
        <v>133</v>
      </c>
      <c r="CQ84" s="16" t="n">
        <v>282</v>
      </c>
      <c r="CR84" s="16" t="inlineStr">
        <is>
          <t>Sí</t>
        </is>
      </c>
      <c r="CS84" s="16" t="n">
        <v>9</v>
      </c>
      <c r="CT84" s="16" t="inlineStr">
        <is>
          <t>Ligeramente elevado</t>
        </is>
      </c>
      <c r="CU84" s="16" t="inlineStr">
        <is>
          <t>4 %</t>
        </is>
      </c>
      <c r="CV84" s="16" t="inlineStr">
        <is>
          <t>Sí</t>
        </is>
      </c>
      <c r="CW84" s="16" t="n">
        <v>6</v>
      </c>
      <c r="CX84" s="16" t="inlineStr">
        <is>
          <t>2</t>
        </is>
      </c>
      <c r="CY84" s="16" t="inlineStr">
        <is>
          <t>Bajo</t>
        </is>
      </c>
    </row>
    <row r="85">
      <c r="A85" s="16" t="inlineStr">
        <is>
          <t>demo-84</t>
        </is>
      </c>
      <c r="B85" s="16" t="inlineStr">
        <is>
          <t>B1-0084</t>
        </is>
      </c>
      <c r="C85" s="16" t="inlineStr">
        <is>
          <t>283-29-4630</t>
        </is>
      </c>
      <c r="D85" s="16" t="n">
        <v>283</v>
      </c>
      <c r="E85" s="16" t="n">
        <v>29</v>
      </c>
      <c r="F85" s="16" t="inlineStr">
        <is>
          <t>4630</t>
        </is>
      </c>
      <c r="G85" s="17" t="n">
        <v>46301</v>
      </c>
      <c r="H85" s="16" t="inlineStr">
        <is>
          <t>15:03</t>
        </is>
      </c>
      <c r="J85" s="16" t="inlineStr">
        <is>
          <t>B</t>
        </is>
      </c>
      <c r="K85" s="16" t="inlineStr">
        <is>
          <t>1</t>
        </is>
      </c>
      <c r="L85" s="16" t="inlineStr">
        <is>
          <t>Encuestador B</t>
        </is>
      </c>
      <c r="M85" s="16" t="inlineStr">
        <is>
          <t>Puesto 2</t>
        </is>
      </c>
      <c r="N85" s="16" t="inlineStr">
        <is>
          <t>Sí</t>
        </is>
      </c>
      <c r="O85" s="16" t="inlineStr">
        <is>
          <t>Sí</t>
        </is>
      </c>
      <c r="P85" s="16" t="n">
        <v>39</v>
      </c>
      <c r="Q85" s="16" t="inlineStr">
        <is>
          <t>Sí</t>
        </is>
      </c>
      <c r="R85" s="16" t="inlineStr">
        <is>
          <t>Sí</t>
        </is>
      </c>
      <c r="S85" s="16" t="inlineStr">
        <is>
          <t>Sí</t>
        </is>
      </c>
      <c r="T85" s="16" t="inlineStr">
        <is>
          <t>finalizado</t>
        </is>
      </c>
      <c r="U85" s="16" t="inlineStr">
        <is>
          <t>2026-10-v2</t>
        </is>
      </c>
      <c r="V85" s="16" t="inlineStr">
        <is>
          <t>2026-10-06T15:00:00.000Z</t>
        </is>
      </c>
      <c r="W85" s="16" t="inlineStr">
        <is>
          <t>Argentina</t>
        </is>
      </c>
      <c r="Y85" s="16" t="inlineStr">
        <is>
          <t>Secundaria incompleta</t>
        </is>
      </c>
      <c r="Z85" s="16" t="inlineStr">
        <is>
          <t>No</t>
        </is>
      </c>
      <c r="AA85" s="16" t="inlineStr">
        <is>
          <t>2</t>
        </is>
      </c>
      <c r="AB85" s="16" t="inlineStr">
        <is>
          <t>5</t>
        </is>
      </c>
      <c r="AC85" s="16" t="inlineStr">
        <is>
          <t>Español; Portugués</t>
        </is>
      </c>
      <c r="AE85" s="16" t="inlineStr">
        <is>
          <t>Español</t>
        </is>
      </c>
      <c r="AG85" s="16" t="inlineStr">
        <is>
          <t>Argentina</t>
        </is>
      </c>
      <c r="AI85" s="16" t="inlineStr">
        <is>
          <t>Regular</t>
        </is>
      </c>
      <c r="AJ85" s="16" t="n">
        <v>8</v>
      </c>
      <c r="AK85" s="16" t="inlineStr">
        <is>
          <t>Viaje provincial (Jujuy)</t>
        </is>
      </c>
      <c r="AL85" s="16" t="inlineStr">
        <is>
          <t>Quincenalmente</t>
        </is>
      </c>
      <c r="AN85" s="16" t="inlineStr">
        <is>
          <t>2 veces por semana</t>
        </is>
      </c>
      <c r="AP85" s="16" t="inlineStr">
        <is>
          <t>Empleado</t>
        </is>
      </c>
      <c r="AR85" s="16" t="inlineStr">
        <is>
          <t>Disconforme</t>
        </is>
      </c>
      <c r="AS85" s="16" t="inlineStr">
        <is>
          <t>Duda</t>
        </is>
      </c>
      <c r="AT85" s="16" t="n">
        <v>7.6</v>
      </c>
      <c r="AU85" s="16" t="inlineStr">
        <is>
          <t>Sí</t>
        </is>
      </c>
      <c r="AV85" s="16" t="inlineStr">
        <is>
          <t>Estaciones de servicio</t>
        </is>
      </c>
      <c r="AX85" s="16" t="n">
        <v>5.6</v>
      </c>
      <c r="AY85" s="16" t="inlineStr">
        <is>
          <t>Varias veces por semana</t>
        </is>
      </c>
      <c r="AZ85" s="16" t="inlineStr">
        <is>
          <t>Gaseosas; Jugos artificiales; Agua</t>
        </is>
      </c>
      <c r="BB85" s="16" t="inlineStr">
        <is>
          <t>Sí, siempre</t>
        </is>
      </c>
      <c r="BC85" s="16" t="inlineStr">
        <is>
          <t>Sí</t>
        </is>
      </c>
      <c r="BD85" s="16" t="inlineStr">
        <is>
          <t>No</t>
        </is>
      </c>
      <c r="BE85" s="16" t="inlineStr">
        <is>
          <t>Sí</t>
        </is>
      </c>
      <c r="BF85" s="16" t="inlineStr">
        <is>
          <t>Obra social</t>
        </is>
      </c>
      <c r="BG85" s="16" t="inlineStr">
        <is>
          <t>Ninguno</t>
        </is>
      </c>
      <c r="BH85" s="16" t="inlineStr">
        <is>
          <t>Una vez al año</t>
        </is>
      </c>
      <c r="BI85" s="16" t="inlineStr">
        <is>
          <t>Sistema público; Otros (medicina tradicional, alternativa, etc.)</t>
        </is>
      </c>
      <c r="BJ85" s="16" t="inlineStr">
        <is>
          <t>No</t>
        </is>
      </c>
      <c r="BL85" s="16" t="inlineStr">
        <is>
          <t>Medicamentos; Hierbas</t>
        </is>
      </c>
      <c r="BM85" s="16" t="inlineStr">
        <is>
          <t>Ibuprofeno</t>
        </is>
      </c>
      <c r="BN85" s="16" t="inlineStr">
        <is>
          <t>Musculoesqueléticos</t>
        </is>
      </c>
      <c r="BP85" s="16" t="inlineStr">
        <is>
          <t>Nunca</t>
        </is>
      </c>
      <c r="BQ85" s="16" t="inlineStr">
        <is>
          <t>Café</t>
        </is>
      </c>
      <c r="BS85" s="16" t="inlineStr">
        <is>
          <t>No</t>
        </is>
      </c>
      <c r="BT85" s="16" t="inlineStr">
        <is>
          <t>No</t>
        </is>
      </c>
      <c r="BU85" s="16" t="inlineStr">
        <is>
          <t>Siempre</t>
        </is>
      </c>
      <c r="BV85" s="16" t="inlineStr">
        <is>
          <t>No</t>
        </is>
      </c>
      <c r="BW85" s="16" t="inlineStr">
        <is>
          <t>No</t>
        </is>
      </c>
      <c r="BX85" s="16" t="inlineStr">
        <is>
          <t>Varón</t>
        </is>
      </c>
      <c r="BY85" s="16" t="n">
        <v>106.8</v>
      </c>
      <c r="BZ85" s="16" t="n">
        <v>1.81</v>
      </c>
      <c r="CA85" s="16" t="n">
        <v>32.6</v>
      </c>
      <c r="CB85" s="16" t="n">
        <v>98</v>
      </c>
      <c r="CC85" s="16" t="n">
        <v>139</v>
      </c>
      <c r="CD85" s="16" t="n">
        <v>88</v>
      </c>
      <c r="CE85" s="16" t="inlineStr">
        <is>
          <t>No</t>
        </is>
      </c>
      <c r="CF85" s="16" t="inlineStr">
        <is>
          <t>Sí</t>
        </is>
      </c>
      <c r="CG85" s="16" t="inlineStr">
        <is>
          <t>Sí</t>
        </is>
      </c>
      <c r="CH85" s="16" t="inlineStr">
        <is>
          <t>No</t>
        </is>
      </c>
      <c r="CI85" s="16" t="inlineStr">
        <is>
          <t>No</t>
        </is>
      </c>
      <c r="CJ85" s="16" t="inlineStr">
        <is>
          <t>No</t>
        </is>
      </c>
      <c r="CK85" s="16" t="inlineStr">
        <is>
          <t>Sí</t>
        </is>
      </c>
      <c r="CL85" s="16" t="inlineStr">
        <is>
          <t>Sí</t>
        </is>
      </c>
      <c r="CM85" s="16" t="inlineStr">
        <is>
          <t>07:37</t>
        </is>
      </c>
      <c r="CN85" s="16" t="inlineStr">
        <is>
          <t>Mate</t>
        </is>
      </c>
      <c r="CO85" s="16" t="inlineStr">
        <is>
          <t>14:30</t>
        </is>
      </c>
      <c r="CP85" s="16" t="n">
        <v>113</v>
      </c>
      <c r="CQ85" s="16" t="n">
        <v>413</v>
      </c>
      <c r="CR85" s="16" t="inlineStr">
        <is>
          <t>Sí</t>
        </is>
      </c>
      <c r="CS85" s="16" t="n">
        <v>8</v>
      </c>
      <c r="CT85" s="16" t="inlineStr">
        <is>
          <t>Ligeramente elevado</t>
        </is>
      </c>
      <c r="CU85" s="16" t="inlineStr">
        <is>
          <t>4 %</t>
        </is>
      </c>
      <c r="CV85" s="16" t="inlineStr">
        <is>
          <t>Sí</t>
        </is>
      </c>
      <c r="CW85" s="16" t="n">
        <v>3</v>
      </c>
      <c r="CX85" s="16" t="inlineStr">
        <is>
          <t>1</t>
        </is>
      </c>
      <c r="CY85" s="16" t="inlineStr">
        <is>
          <t>Bajo</t>
        </is>
      </c>
    </row>
    <row r="86">
      <c r="A86" s="16" t="inlineStr">
        <is>
          <t>demo-85</t>
        </is>
      </c>
      <c r="B86" s="16" t="inlineStr">
        <is>
          <t>A1-0085</t>
        </is>
      </c>
      <c r="C86" s="16" t="inlineStr">
        <is>
          <t>085-66-4500</t>
        </is>
      </c>
      <c r="D86" s="16" t="n">
        <v>85</v>
      </c>
      <c r="E86" s="16" t="n">
        <v>66</v>
      </c>
      <c r="F86" s="16" t="inlineStr">
        <is>
          <t>4500</t>
        </is>
      </c>
      <c r="G86" s="17" t="n">
        <v>46289</v>
      </c>
      <c r="H86" s="16" t="inlineStr">
        <is>
          <t>12:07</t>
        </is>
      </c>
      <c r="J86" s="16" t="inlineStr">
        <is>
          <t>A</t>
        </is>
      </c>
      <c r="K86" s="16" t="inlineStr">
        <is>
          <t>1</t>
        </is>
      </c>
      <c r="L86" s="16" t="inlineStr">
        <is>
          <t>Encuestador A</t>
        </is>
      </c>
      <c r="M86" s="16" t="inlineStr">
        <is>
          <t>Puesto 1</t>
        </is>
      </c>
      <c r="N86" s="16" t="inlineStr">
        <is>
          <t>Sí</t>
        </is>
      </c>
      <c r="O86" s="16" t="inlineStr">
        <is>
          <t>Sí</t>
        </is>
      </c>
      <c r="P86" s="16" t="n">
        <v>38</v>
      </c>
      <c r="Q86" s="16" t="inlineStr">
        <is>
          <t>Sí</t>
        </is>
      </c>
      <c r="R86" s="16" t="inlineStr">
        <is>
          <t>Sí</t>
        </is>
      </c>
      <c r="S86" s="16" t="inlineStr">
        <is>
          <t>Sí</t>
        </is>
      </c>
      <c r="T86" s="16" t="inlineStr">
        <is>
          <t>finalizado</t>
        </is>
      </c>
      <c r="U86" s="16" t="inlineStr">
        <is>
          <t>2026-10-v2</t>
        </is>
      </c>
      <c r="V86" s="16" t="inlineStr">
        <is>
          <t>2026-09-24T15:00:00.000Z</t>
        </is>
      </c>
      <c r="W86" s="16" t="inlineStr">
        <is>
          <t>Argentina</t>
        </is>
      </c>
      <c r="Y86" s="16" t="inlineStr">
        <is>
          <t>Secundaria completa</t>
        </is>
      </c>
      <c r="Z86" s="16" t="inlineStr">
        <is>
          <t>Sí</t>
        </is>
      </c>
      <c r="AA86" s="16" t="inlineStr">
        <is>
          <t>2</t>
        </is>
      </c>
      <c r="AB86" s="16" t="inlineStr">
        <is>
          <t>4</t>
        </is>
      </c>
      <c r="AC86" s="16" t="inlineStr">
        <is>
          <t>Portugués; Guaraní</t>
        </is>
      </c>
      <c r="AE86" s="16" t="inlineStr">
        <is>
          <t>Español</t>
        </is>
      </c>
      <c r="AG86" s="16" t="inlineStr">
        <is>
          <t>Argentina</t>
        </is>
      </c>
      <c r="AI86" s="16" t="inlineStr">
        <is>
          <t>Regular</t>
        </is>
      </c>
      <c r="AJ86" s="16" t="n">
        <v>16</v>
      </c>
      <c r="AK86" s="16" t="inlineStr">
        <is>
          <t>Viaje provincial (Jujuy)</t>
        </is>
      </c>
      <c r="AL86" s="16" t="inlineStr">
        <is>
          <t>Una vez a la semana</t>
        </is>
      </c>
      <c r="AN86" s="16" t="inlineStr">
        <is>
          <t>Una vez a la semana</t>
        </is>
      </c>
      <c r="AP86" s="16" t="inlineStr">
        <is>
          <t>Empleado</t>
        </is>
      </c>
      <c r="AR86" s="16" t="inlineStr">
        <is>
          <t>Conforme</t>
        </is>
      </c>
      <c r="AS86" s="16" t="inlineStr">
        <is>
          <t>Sí</t>
        </is>
      </c>
      <c r="AT86" s="16" t="n">
        <v>7.3</v>
      </c>
      <c r="AU86" s="16" t="inlineStr">
        <is>
          <t>Sí</t>
        </is>
      </c>
      <c r="AV86" s="16" t="inlineStr">
        <is>
          <t>En el camión al costado de la ruta</t>
        </is>
      </c>
      <c r="AX86" s="16" t="n">
        <v>6.5</v>
      </c>
      <c r="AY86" s="16" t="inlineStr">
        <is>
          <t>Varias veces por semana</t>
        </is>
      </c>
      <c r="AZ86" s="16" t="inlineStr">
        <is>
          <t>Gaseosas; Mate</t>
        </is>
      </c>
      <c r="BB86" s="16" t="inlineStr">
        <is>
          <t>Nunca</t>
        </is>
      </c>
      <c r="BC86" s="16" t="inlineStr">
        <is>
          <t>Rara vez</t>
        </is>
      </c>
      <c r="BD86" s="16" t="inlineStr">
        <is>
          <t>No</t>
        </is>
      </c>
      <c r="BE86" s="16" t="inlineStr">
        <is>
          <t>Sí</t>
        </is>
      </c>
      <c r="BF86" s="16" t="inlineStr">
        <is>
          <t>Obra social</t>
        </is>
      </c>
      <c r="BG86" s="16" t="inlineStr">
        <is>
          <t>Ninguno</t>
        </is>
      </c>
      <c r="BH86" s="16" t="inlineStr">
        <is>
          <t>2 veces al año</t>
        </is>
      </c>
      <c r="BI86" s="16" t="inlineStr">
        <is>
          <t>Sistema privado</t>
        </is>
      </c>
      <c r="BJ86" s="16" t="inlineStr">
        <is>
          <t>No</t>
        </is>
      </c>
      <c r="BL86" s="16" t="inlineStr">
        <is>
          <t>Ninguno</t>
        </is>
      </c>
      <c r="BN86" s="16" t="inlineStr">
        <is>
          <t>Obesidad</t>
        </is>
      </c>
      <c r="BP86" s="16" t="inlineStr">
        <is>
          <t>2 a 3 veces por semana</t>
        </is>
      </c>
      <c r="BQ86" s="16" t="inlineStr">
        <is>
          <t>Café; Coca-Cola</t>
        </is>
      </c>
      <c r="BS86" s="16" t="inlineStr">
        <is>
          <t>Sí</t>
        </is>
      </c>
      <c r="BT86" s="16" t="inlineStr">
        <is>
          <t>Sí</t>
        </is>
      </c>
      <c r="BU86" s="16" t="inlineStr">
        <is>
          <t>A veces</t>
        </is>
      </c>
      <c r="BV86" s="16" t="inlineStr">
        <is>
          <t>No</t>
        </is>
      </c>
      <c r="BW86" s="16" t="inlineStr">
        <is>
          <t>No</t>
        </is>
      </c>
      <c r="BX86" s="16" t="inlineStr">
        <is>
          <t>Varón</t>
        </is>
      </c>
      <c r="BY86" s="16" t="n">
        <v>104.2</v>
      </c>
      <c r="BZ86" s="16" t="n">
        <v>1.87</v>
      </c>
      <c r="CA86" s="16" t="n">
        <v>29.8</v>
      </c>
      <c r="CB86" s="16" t="n">
        <v>104</v>
      </c>
      <c r="CC86" s="16" t="n">
        <v>143</v>
      </c>
      <c r="CD86" s="16" t="n">
        <v>91</v>
      </c>
      <c r="CE86" s="16" t="inlineStr">
        <is>
          <t>No</t>
        </is>
      </c>
      <c r="CF86" s="16" t="inlineStr">
        <is>
          <t>No</t>
        </is>
      </c>
      <c r="CG86" s="16" t="inlineStr">
        <is>
          <t>Sí</t>
        </is>
      </c>
      <c r="CH86" s="16" t="inlineStr">
        <is>
          <t>No</t>
        </is>
      </c>
      <c r="CI86" s="16" t="inlineStr">
        <is>
          <t>No</t>
        </is>
      </c>
      <c r="CJ86" s="16" t="inlineStr">
        <is>
          <t>No</t>
        </is>
      </c>
      <c r="CK86" s="16" t="inlineStr">
        <is>
          <t>No</t>
        </is>
      </c>
      <c r="CL86" s="16" t="inlineStr">
        <is>
          <t>Sí</t>
        </is>
      </c>
      <c r="CM86" s="16" t="inlineStr">
        <is>
          <t>07:48</t>
        </is>
      </c>
      <c r="CN86" s="16" t="inlineStr">
        <is>
          <t>Mate</t>
        </is>
      </c>
      <c r="CO86" s="16" t="inlineStr">
        <is>
          <t>10:30</t>
        </is>
      </c>
      <c r="CP86" s="16" t="n">
        <v>181</v>
      </c>
      <c r="CQ86" s="16" t="n">
        <v>162</v>
      </c>
      <c r="CR86" s="16" t="inlineStr">
        <is>
          <t>Sí</t>
        </is>
      </c>
      <c r="CS86" s="16" t="n">
        <v>12</v>
      </c>
      <c r="CT86" s="16" t="inlineStr">
        <is>
          <t>Moderado</t>
        </is>
      </c>
      <c r="CU86" s="16" t="inlineStr">
        <is>
          <t>17 %</t>
        </is>
      </c>
      <c r="CV86" s="16" t="inlineStr">
        <is>
          <t>Sí</t>
        </is>
      </c>
      <c r="CW86" s="16" t="n">
        <v>13</v>
      </c>
      <c r="CX86" s="16" t="inlineStr">
        <is>
          <t>12</t>
        </is>
      </c>
      <c r="CY86" s="16" t="inlineStr">
        <is>
          <t>Moderado</t>
        </is>
      </c>
    </row>
    <row r="87">
      <c r="A87" s="16" t="inlineStr">
        <is>
          <t>demo-86</t>
        </is>
      </c>
      <c r="B87" s="16" t="inlineStr">
        <is>
          <t>A1-0086</t>
        </is>
      </c>
      <c r="C87" s="16" t="inlineStr">
        <is>
          <t>086-52-4630</t>
        </is>
      </c>
      <c r="D87" s="16" t="n">
        <v>86</v>
      </c>
      <c r="E87" s="16" t="n">
        <v>52</v>
      </c>
      <c r="F87" s="16" t="inlineStr">
        <is>
          <t>4630</t>
        </is>
      </c>
      <c r="G87" s="17" t="n">
        <v>46291</v>
      </c>
      <c r="H87" s="16" t="inlineStr">
        <is>
          <t>15:01</t>
        </is>
      </c>
      <c r="J87" s="16" t="inlineStr">
        <is>
          <t>A</t>
        </is>
      </c>
      <c r="K87" s="16" t="inlineStr">
        <is>
          <t>1</t>
        </is>
      </c>
      <c r="L87" s="16" t="inlineStr">
        <is>
          <t>Encuestador A</t>
        </is>
      </c>
      <c r="M87" s="16" t="inlineStr">
        <is>
          <t>Puesto 1</t>
        </is>
      </c>
      <c r="N87" s="16" t="inlineStr">
        <is>
          <t>Sí</t>
        </is>
      </c>
      <c r="O87" s="16" t="inlineStr">
        <is>
          <t>Sí</t>
        </is>
      </c>
      <c r="P87" s="16" t="n">
        <v>39</v>
      </c>
      <c r="Q87" s="16" t="inlineStr">
        <is>
          <t>Sí</t>
        </is>
      </c>
      <c r="R87" s="16" t="inlineStr">
        <is>
          <t>No</t>
        </is>
      </c>
      <c r="S87" s="16" t="inlineStr">
        <is>
          <t>No</t>
        </is>
      </c>
      <c r="T87" s="16" t="inlineStr">
        <is>
          <t>finalizado</t>
        </is>
      </c>
      <c r="U87" s="16" t="inlineStr">
        <is>
          <t>2026-10-v2</t>
        </is>
      </c>
      <c r="V87" s="16" t="inlineStr">
        <is>
          <t>2026-09-26T15:00:00.000Z</t>
        </is>
      </c>
      <c r="W87" s="16" t="inlineStr">
        <is>
          <t>Brasil</t>
        </is>
      </c>
      <c r="Y87" s="16" t="inlineStr">
        <is>
          <t>Secundaria completa</t>
        </is>
      </c>
      <c r="Z87" s="16" t="inlineStr">
        <is>
          <t>Sí</t>
        </is>
      </c>
      <c r="AA87" s="16" t="inlineStr">
        <is>
          <t>Más de 5</t>
        </is>
      </c>
      <c r="AB87" s="16" t="inlineStr">
        <is>
          <t>2</t>
        </is>
      </c>
      <c r="AC87" s="16" t="inlineStr">
        <is>
          <t>Guaraní; Portugués</t>
        </is>
      </c>
      <c r="AE87" s="16" t="inlineStr">
        <is>
          <t>Español</t>
        </is>
      </c>
      <c r="AG87" s="16" t="inlineStr">
        <is>
          <t>Argentina</t>
        </is>
      </c>
      <c r="AI87" s="16" t="inlineStr">
        <is>
          <t>Regular</t>
        </is>
      </c>
      <c r="AJ87" s="16" t="n">
        <v>24</v>
      </c>
      <c r="AK87" s="16" t="inlineStr">
        <is>
          <t>Viaje interprovincial</t>
        </is>
      </c>
      <c r="AL87" s="16" t="inlineStr">
        <is>
          <t>Quincenalmente</t>
        </is>
      </c>
      <c r="AN87" s="16" t="inlineStr">
        <is>
          <t>Una vez a la semana</t>
        </is>
      </c>
      <c r="AP87" s="16" t="inlineStr">
        <is>
          <t>Dueño del camión</t>
        </is>
      </c>
      <c r="AR87" s="16" t="inlineStr">
        <is>
          <t>Conforme</t>
        </is>
      </c>
      <c r="AS87" s="16" t="inlineStr">
        <is>
          <t>Duda</t>
        </is>
      </c>
      <c r="AT87" s="16" t="n">
        <v>2.8</v>
      </c>
      <c r="AU87" s="16" t="inlineStr">
        <is>
          <t>Sí</t>
        </is>
      </c>
      <c r="AV87" s="16" t="inlineStr">
        <is>
          <t>Estaciones de servicio; En el camión al costado de la ruta</t>
        </is>
      </c>
      <c r="AX87" s="16" t="n">
        <v>5.4</v>
      </c>
      <c r="AY87" s="16" t="inlineStr">
        <is>
          <t>Todos los días</t>
        </is>
      </c>
      <c r="AZ87" s="16" t="inlineStr">
        <is>
          <t>Café</t>
        </is>
      </c>
      <c r="BB87" s="16" t="inlineStr">
        <is>
          <t>Casi nunca</t>
        </is>
      </c>
      <c r="BC87" s="16" t="inlineStr">
        <is>
          <t>Rara vez</t>
        </is>
      </c>
      <c r="BD87" s="16" t="inlineStr">
        <is>
          <t>No</t>
        </is>
      </c>
      <c r="BE87" s="16" t="inlineStr">
        <is>
          <t>Sí</t>
        </is>
      </c>
      <c r="BF87" s="16" t="inlineStr">
        <is>
          <t>Ninguna</t>
        </is>
      </c>
      <c r="BG87" s="16" t="inlineStr">
        <is>
          <t>Sistema público</t>
        </is>
      </c>
      <c r="BH87" s="16" t="inlineStr">
        <is>
          <t>Solo cuando me siento mal</t>
        </is>
      </c>
      <c r="BI87" s="16" t="inlineStr">
        <is>
          <t>Sistema privado</t>
        </is>
      </c>
      <c r="BJ87" s="16" t="inlineStr">
        <is>
          <t>Sí</t>
        </is>
      </c>
      <c r="BK87" s="16" t="inlineStr">
        <is>
          <t>Lumbar</t>
        </is>
      </c>
      <c r="BL87" s="16" t="inlineStr">
        <is>
          <t>Medicamentos; Hierbas</t>
        </is>
      </c>
      <c r="BM87" s="16" t="inlineStr">
        <is>
          <t>Ibuprofeno</t>
        </is>
      </c>
      <c r="BN87" s="16" t="inlineStr">
        <is>
          <t>Obesidad</t>
        </is>
      </c>
      <c r="BP87" s="16" t="inlineStr">
        <is>
          <t>Rara vez</t>
        </is>
      </c>
      <c r="BQ87" s="16" t="inlineStr">
        <is>
          <t>Café</t>
        </is>
      </c>
      <c r="BS87" s="16" t="inlineStr">
        <is>
          <t>Sí</t>
        </is>
      </c>
      <c r="BT87" s="16" t="inlineStr">
        <is>
          <t>Sí</t>
        </is>
      </c>
      <c r="BU87" s="16" t="inlineStr">
        <is>
          <t>Siempre</t>
        </is>
      </c>
      <c r="BV87" s="16" t="inlineStr">
        <is>
          <t>Sí</t>
        </is>
      </c>
    </row>
    <row r="88">
      <c r="A88" s="16" t="inlineStr">
        <is>
          <t>demo-87</t>
        </is>
      </c>
      <c r="B88" s="16" t="inlineStr">
        <is>
          <t>C1-0087</t>
        </is>
      </c>
      <c r="C88" s="16" t="inlineStr">
        <is>
          <t>486-32-4500</t>
        </is>
      </c>
      <c r="D88" s="16" t="n">
        <v>486</v>
      </c>
      <c r="E88" s="16" t="n">
        <v>32</v>
      </c>
      <c r="F88" s="16" t="inlineStr">
        <is>
          <t>4500</t>
        </is>
      </c>
      <c r="G88" s="17" t="n">
        <v>46302</v>
      </c>
      <c r="H88" s="16" t="inlineStr">
        <is>
          <t>17:06</t>
        </is>
      </c>
      <c r="J88" s="16" t="inlineStr">
        <is>
          <t>C</t>
        </is>
      </c>
      <c r="K88" s="16" t="inlineStr">
        <is>
          <t>1</t>
        </is>
      </c>
      <c r="L88" s="16" t="inlineStr">
        <is>
          <t>Encuestador C</t>
        </is>
      </c>
      <c r="M88" s="16" t="inlineStr">
        <is>
          <t>Puesto 1</t>
        </is>
      </c>
      <c r="N88" s="16" t="inlineStr">
        <is>
          <t>Sí</t>
        </is>
      </c>
      <c r="O88" s="16" t="inlineStr">
        <is>
          <t>Sí</t>
        </is>
      </c>
      <c r="P88" s="16" t="n">
        <v>39</v>
      </c>
      <c r="Q88" s="16" t="inlineStr">
        <is>
          <t>Sí</t>
        </is>
      </c>
      <c r="R88" s="16" t="inlineStr">
        <is>
          <t>Sí</t>
        </is>
      </c>
      <c r="S88" s="16" t="inlineStr">
        <is>
          <t>Sí</t>
        </is>
      </c>
      <c r="T88" s="16" t="inlineStr">
        <is>
          <t>finalizado</t>
        </is>
      </c>
      <c r="U88" s="16" t="inlineStr">
        <is>
          <t>2026-10-v2</t>
        </is>
      </c>
      <c r="V88" s="16" t="inlineStr">
        <is>
          <t>2026-10-07T15:00:00.000Z</t>
        </is>
      </c>
      <c r="W88" s="16" t="inlineStr">
        <is>
          <t>Argentina</t>
        </is>
      </c>
      <c r="Y88" s="16" t="inlineStr">
        <is>
          <t>Secundaria completa</t>
        </is>
      </c>
      <c r="Z88" s="16" t="inlineStr">
        <is>
          <t>Sí</t>
        </is>
      </c>
      <c r="AA88" s="16" t="inlineStr">
        <is>
          <t>4</t>
        </is>
      </c>
      <c r="AB88" s="16" t="inlineStr">
        <is>
          <t>2</t>
        </is>
      </c>
      <c r="AC88" s="16" t="inlineStr">
        <is>
          <t>Portugués; Guaraní</t>
        </is>
      </c>
      <c r="AE88" s="16" t="inlineStr">
        <is>
          <t>Español</t>
        </is>
      </c>
      <c r="AG88" s="16" t="inlineStr">
        <is>
          <t>Argentina</t>
        </is>
      </c>
      <c r="AI88" s="16" t="inlineStr">
        <is>
          <t>Regular</t>
        </is>
      </c>
      <c r="AJ88" s="16" t="n">
        <v>3</v>
      </c>
      <c r="AK88" s="16" t="inlineStr">
        <is>
          <t>Viaje interprovincial</t>
        </is>
      </c>
      <c r="AL88" s="16" t="inlineStr">
        <is>
          <t>Una vez al mes</t>
        </is>
      </c>
      <c r="AN88" s="16" t="inlineStr">
        <is>
          <t>3 veces por semana</t>
        </is>
      </c>
      <c r="AP88" s="16" t="inlineStr">
        <is>
          <t>Empleado</t>
        </is>
      </c>
      <c r="AR88" s="16" t="inlineStr">
        <is>
          <t>Parcialmente conforme</t>
        </is>
      </c>
      <c r="AS88" s="16" t="inlineStr">
        <is>
          <t>Sí</t>
        </is>
      </c>
      <c r="AT88" s="16" t="n">
        <v>5.5</v>
      </c>
      <c r="AU88" s="16" t="inlineStr">
        <is>
          <t>Sí</t>
        </is>
      </c>
      <c r="AV88" s="16" t="inlineStr">
        <is>
          <t>Estaciones de servicio</t>
        </is>
      </c>
      <c r="AX88" s="16" t="n">
        <v>6.1</v>
      </c>
      <c r="AY88" s="16" t="inlineStr">
        <is>
          <t>Varias veces por semana</t>
        </is>
      </c>
      <c r="AZ88" s="16" t="inlineStr">
        <is>
          <t>Jugos artificiales</t>
        </is>
      </c>
      <c r="BB88" s="16" t="inlineStr">
        <is>
          <t>Casi nunca</t>
        </is>
      </c>
      <c r="BC88" s="16" t="inlineStr">
        <is>
          <t>Algunas veces</t>
        </is>
      </c>
      <c r="BD88" s="16" t="inlineStr">
        <is>
          <t>No</t>
        </is>
      </c>
      <c r="BE88" s="16" t="inlineStr">
        <is>
          <t>Sí</t>
        </is>
      </c>
      <c r="BF88" s="16" t="inlineStr">
        <is>
          <t>Obra social</t>
        </is>
      </c>
      <c r="BG88" s="16" t="inlineStr">
        <is>
          <t>Sistema público</t>
        </is>
      </c>
      <c r="BH88" s="16" t="inlineStr">
        <is>
          <t>Una vez al año</t>
        </is>
      </c>
      <c r="BI88" s="16" t="inlineStr">
        <is>
          <t>Sistema público; Otros (medicina tradicional, alternativa, etc.)</t>
        </is>
      </c>
      <c r="BJ88" s="16" t="inlineStr">
        <is>
          <t>No</t>
        </is>
      </c>
      <c r="BL88" s="16" t="inlineStr">
        <is>
          <t>Medicamentos; Hierbas</t>
        </is>
      </c>
      <c r="BM88" s="16" t="inlineStr">
        <is>
          <t>Ibuprofeno</t>
        </is>
      </c>
      <c r="BN88" s="16" t="inlineStr">
        <is>
          <t>Musculoesqueléticos</t>
        </is>
      </c>
      <c r="BP88" s="16" t="inlineStr">
        <is>
          <t>Una vez a la semana</t>
        </is>
      </c>
      <c r="BQ88" s="16" t="inlineStr">
        <is>
          <t>Yerba mate</t>
        </is>
      </c>
      <c r="BS88" s="16" t="inlineStr">
        <is>
          <t>No</t>
        </is>
      </c>
      <c r="BT88" s="16" t="inlineStr">
        <is>
          <t>No</t>
        </is>
      </c>
      <c r="BU88" s="16" t="inlineStr">
        <is>
          <t>Nunca</t>
        </is>
      </c>
      <c r="BV88" s="16" t="inlineStr">
        <is>
          <t>No</t>
        </is>
      </c>
      <c r="BW88" s="16" t="inlineStr">
        <is>
          <t>No</t>
        </is>
      </c>
      <c r="BX88" s="16" t="inlineStr">
        <is>
          <t>Varón</t>
        </is>
      </c>
      <c r="BY88" s="16" t="n">
        <v>65.3</v>
      </c>
      <c r="BZ88" s="16" t="n">
        <v>1.61</v>
      </c>
      <c r="CA88" s="16" t="n">
        <v>25.2</v>
      </c>
      <c r="CB88" s="16" t="n">
        <v>106</v>
      </c>
      <c r="CC88" s="16" t="n">
        <v>123</v>
      </c>
      <c r="CD88" s="16" t="n">
        <v>78</v>
      </c>
      <c r="CE88" s="16" t="inlineStr">
        <is>
          <t>No</t>
        </is>
      </c>
      <c r="CF88" s="16" t="inlineStr">
        <is>
          <t>Sí</t>
        </is>
      </c>
      <c r="CG88" s="16" t="inlineStr">
        <is>
          <t>No</t>
        </is>
      </c>
      <c r="CH88" s="16" t="inlineStr">
        <is>
          <t>No</t>
        </is>
      </c>
      <c r="CI88" s="16" t="inlineStr">
        <is>
          <t>No</t>
        </is>
      </c>
      <c r="CJ88" s="16" t="inlineStr">
        <is>
          <t>No</t>
        </is>
      </c>
      <c r="CK88" s="16" t="inlineStr">
        <is>
          <t>No</t>
        </is>
      </c>
      <c r="CL88" s="16" t="inlineStr">
        <is>
          <t>Sí</t>
        </is>
      </c>
      <c r="CM88" s="16" t="inlineStr">
        <is>
          <t>07:39</t>
        </is>
      </c>
      <c r="CN88" s="16" t="inlineStr">
        <is>
          <t>Mate</t>
        </is>
      </c>
      <c r="CO88" s="16" t="inlineStr">
        <is>
          <t>12:30</t>
        </is>
      </c>
      <c r="CP88" s="16" t="n">
        <v>87</v>
      </c>
      <c r="CQ88" s="16" t="n">
        <v>291</v>
      </c>
      <c r="CR88" s="16" t="inlineStr">
        <is>
          <t>Sí</t>
        </is>
      </c>
      <c r="CS88" s="16" t="n">
        <v>7</v>
      </c>
      <c r="CT88" s="16" t="inlineStr">
        <is>
          <t>Ligeramente elevado</t>
        </is>
      </c>
      <c r="CU88" s="16" t="inlineStr">
        <is>
          <t>4 %</t>
        </is>
      </c>
      <c r="CV88" s="16" t="inlineStr">
        <is>
          <t>Sí</t>
        </is>
      </c>
      <c r="CW88" s="16" t="n">
        <v>-8</v>
      </c>
      <c r="CX88" s="16" t="inlineStr">
        <is>
          <t>&lt;1</t>
        </is>
      </c>
      <c r="CY88" s="16" t="inlineStr">
        <is>
          <t>Bajo</t>
        </is>
      </c>
    </row>
    <row r="89">
      <c r="A89" s="16" t="inlineStr">
        <is>
          <t>demo-88</t>
        </is>
      </c>
      <c r="B89" s="16" t="inlineStr">
        <is>
          <t>B1-0088</t>
        </is>
      </c>
      <c r="C89" s="16" t="inlineStr">
        <is>
          <t>287-41-4500</t>
        </is>
      </c>
      <c r="D89" s="16" t="n">
        <v>287</v>
      </c>
      <c r="E89" s="16" t="n">
        <v>41</v>
      </c>
      <c r="F89" s="16" t="inlineStr">
        <is>
          <t>4500</t>
        </is>
      </c>
      <c r="G89" s="17" t="n">
        <v>46291</v>
      </c>
      <c r="H89" s="16" t="inlineStr">
        <is>
          <t>13:09</t>
        </is>
      </c>
      <c r="J89" s="16" t="inlineStr">
        <is>
          <t>B</t>
        </is>
      </c>
      <c r="K89" s="16" t="inlineStr">
        <is>
          <t>1</t>
        </is>
      </c>
      <c r="L89" s="16" t="inlineStr">
        <is>
          <t>Encuestador B</t>
        </is>
      </c>
      <c r="M89" s="16" t="inlineStr">
        <is>
          <t>Puesto 2</t>
        </is>
      </c>
      <c r="N89" s="16" t="inlineStr">
        <is>
          <t>Sí</t>
        </is>
      </c>
      <c r="O89" s="16" t="inlineStr">
        <is>
          <t>Sí</t>
        </is>
      </c>
      <c r="P89" s="16" t="n">
        <v>39</v>
      </c>
      <c r="Q89" s="16" t="inlineStr">
        <is>
          <t>Sí</t>
        </is>
      </c>
      <c r="R89" s="16" t="inlineStr">
        <is>
          <t>Sí</t>
        </is>
      </c>
      <c r="S89" s="16" t="inlineStr">
        <is>
          <t>No</t>
        </is>
      </c>
      <c r="T89" s="16" t="inlineStr">
        <is>
          <t>finalizado</t>
        </is>
      </c>
      <c r="U89" s="16" t="inlineStr">
        <is>
          <t>2026-10-v2</t>
        </is>
      </c>
      <c r="V89" s="16" t="inlineStr">
        <is>
          <t>2026-09-26T15:00:00.000Z</t>
        </is>
      </c>
      <c r="W89" s="16" t="inlineStr">
        <is>
          <t>Argentina</t>
        </is>
      </c>
      <c r="Y89" s="16" t="inlineStr">
        <is>
          <t>Secundaria completa</t>
        </is>
      </c>
      <c r="Z89" s="16" t="inlineStr">
        <is>
          <t>Sí</t>
        </is>
      </c>
      <c r="AA89" s="16" t="inlineStr">
        <is>
          <t>4</t>
        </is>
      </c>
      <c r="AB89" s="16" t="inlineStr">
        <is>
          <t>5</t>
        </is>
      </c>
      <c r="AC89" s="16" t="inlineStr">
        <is>
          <t>Portugués; Español</t>
        </is>
      </c>
      <c r="AE89" s="16" t="inlineStr">
        <is>
          <t>Español</t>
        </is>
      </c>
      <c r="AG89" s="16" t="inlineStr">
        <is>
          <t>Argentina</t>
        </is>
      </c>
      <c r="AI89" s="16" t="inlineStr">
        <is>
          <t>Regular</t>
        </is>
      </c>
      <c r="AJ89" s="16" t="n">
        <v>20</v>
      </c>
      <c r="AK89" s="16" t="inlineStr">
        <is>
          <t>Viaje provincial (Jujuy)</t>
        </is>
      </c>
      <c r="AL89" s="16" t="inlineStr">
        <is>
          <t>Quincenalmente</t>
        </is>
      </c>
      <c r="AN89" s="16" t="inlineStr">
        <is>
          <t>Diariamente</t>
        </is>
      </c>
      <c r="AP89" s="16" t="inlineStr">
        <is>
          <t>Dueño del camión</t>
        </is>
      </c>
      <c r="AR89" s="16" t="inlineStr">
        <is>
          <t>Parcialmente conforme</t>
        </is>
      </c>
      <c r="AS89" s="16" t="inlineStr">
        <is>
          <t>Duda</t>
        </is>
      </c>
      <c r="AT89" s="16" t="n">
        <v>5.1</v>
      </c>
      <c r="AU89" s="16" t="inlineStr">
        <is>
          <t>Sí</t>
        </is>
      </c>
      <c r="AV89" s="16" t="inlineStr">
        <is>
          <t>En el camión al costado de la ruta</t>
        </is>
      </c>
      <c r="AX89" s="16" t="n">
        <v>8</v>
      </c>
      <c r="AY89" s="16" t="inlineStr">
        <is>
          <t>Todos los días</t>
        </is>
      </c>
      <c r="AZ89" s="16" t="inlineStr">
        <is>
          <t>Agua; Gaseosas</t>
        </is>
      </c>
      <c r="BB89" s="16" t="inlineStr">
        <is>
          <t>Casi nunca</t>
        </is>
      </c>
      <c r="BC89" s="16" t="inlineStr">
        <is>
          <t>Sí</t>
        </is>
      </c>
      <c r="BD89" s="16" t="inlineStr">
        <is>
          <t>No</t>
        </is>
      </c>
      <c r="BE89" s="16" t="inlineStr">
        <is>
          <t>Sí</t>
        </is>
      </c>
      <c r="BF89" s="16" t="inlineStr">
        <is>
          <t>Ninguna</t>
        </is>
      </c>
      <c r="BG89" s="16" t="inlineStr">
        <is>
          <t>Ninguno</t>
        </is>
      </c>
      <c r="BH89" s="16" t="inlineStr">
        <is>
          <t>Una vez al año</t>
        </is>
      </c>
      <c r="BI89" s="16" t="inlineStr">
        <is>
          <t>Sistema público; Otros (medicina tradicional, alternativa, etc.)</t>
        </is>
      </c>
      <c r="BJ89" s="16" t="inlineStr">
        <is>
          <t>No</t>
        </is>
      </c>
      <c r="BL89" s="16" t="inlineStr">
        <is>
          <t>Medicamentos</t>
        </is>
      </c>
      <c r="BM89" s="16" t="inlineStr">
        <is>
          <t>Ibuprofeno</t>
        </is>
      </c>
      <c r="BN89" s="16" t="inlineStr">
        <is>
          <t>No tengo diagnóstico de enfermedad</t>
        </is>
      </c>
      <c r="BP89" s="16" t="inlineStr">
        <is>
          <t>Una vez a la semana</t>
        </is>
      </c>
      <c r="BQ89" s="16" t="inlineStr">
        <is>
          <t>Café</t>
        </is>
      </c>
      <c r="BS89" s="16" t="inlineStr">
        <is>
          <t>Sí</t>
        </is>
      </c>
      <c r="BT89" s="16" t="inlineStr">
        <is>
          <t>Sí</t>
        </is>
      </c>
      <c r="BU89" s="16" t="inlineStr">
        <is>
          <t>A veces</t>
        </is>
      </c>
      <c r="BV89" s="16" t="inlineStr">
        <is>
          <t>Sí</t>
        </is>
      </c>
      <c r="BW89" s="16" t="inlineStr">
        <is>
          <t>No</t>
        </is>
      </c>
      <c r="BX89" s="16" t="inlineStr">
        <is>
          <t>Varón</t>
        </is>
      </c>
      <c r="BY89" s="16" t="n">
        <v>78.5</v>
      </c>
      <c r="BZ89" s="16" t="n">
        <v>1.79</v>
      </c>
      <c r="CA89" s="16" t="n">
        <v>24.5</v>
      </c>
      <c r="CB89" s="16" t="n">
        <v>110</v>
      </c>
      <c r="CC89" s="16" t="n">
        <v>151</v>
      </c>
      <c r="CD89" s="16" t="n">
        <v>96</v>
      </c>
      <c r="CE89" s="16" t="inlineStr">
        <is>
          <t>Sí</t>
        </is>
      </c>
      <c r="CF89" s="16" t="inlineStr">
        <is>
          <t>Sí</t>
        </is>
      </c>
      <c r="CG89" s="16" t="inlineStr">
        <is>
          <t>Sí</t>
        </is>
      </c>
      <c r="CH89" s="16" t="inlineStr">
        <is>
          <t>No</t>
        </is>
      </c>
      <c r="CI89" s="16" t="inlineStr">
        <is>
          <t>Sí</t>
        </is>
      </c>
      <c r="CJ89" s="16" t="inlineStr">
        <is>
          <t>No</t>
        </is>
      </c>
      <c r="CK89" s="16" t="inlineStr">
        <is>
          <t>No</t>
        </is>
      </c>
      <c r="CL89" s="16" t="inlineStr">
        <is>
          <t>No</t>
        </is>
      </c>
      <c r="CR89" s="16" t="inlineStr">
        <is>
          <t>Sí</t>
        </is>
      </c>
      <c r="CS89" s="16" t="n">
        <v>9</v>
      </c>
      <c r="CT89" s="16" t="inlineStr">
        <is>
          <t>Ligeramente elevado</t>
        </is>
      </c>
      <c r="CU89" s="16" t="inlineStr">
        <is>
          <t>4 %</t>
        </is>
      </c>
      <c r="CV89" s="16" t="inlineStr">
        <is>
          <t>Sí</t>
        </is>
      </c>
      <c r="CW89" s="16" t="n">
        <v>1</v>
      </c>
      <c r="CX89" s="16" t="inlineStr">
        <is>
          <t>1</t>
        </is>
      </c>
      <c r="CY89" s="16" t="inlineStr">
        <is>
          <t>Bajo</t>
        </is>
      </c>
    </row>
    <row r="90">
      <c r="A90" s="16" t="inlineStr">
        <is>
          <t>demo-89</t>
        </is>
      </c>
      <c r="B90" s="16" t="inlineStr">
        <is>
          <t>A1-0089</t>
        </is>
      </c>
      <c r="C90" s="16" t="inlineStr">
        <is>
          <t>089-27-4600</t>
        </is>
      </c>
      <c r="D90" s="16" t="n">
        <v>89</v>
      </c>
      <c r="E90" s="16" t="n">
        <v>27</v>
      </c>
      <c r="F90" s="16" t="inlineStr">
        <is>
          <t>4600</t>
        </is>
      </c>
      <c r="G90" s="17" t="n">
        <v>46290</v>
      </c>
      <c r="H90" s="16" t="inlineStr">
        <is>
          <t>15:03</t>
        </is>
      </c>
      <c r="J90" s="16" t="inlineStr">
        <is>
          <t>A</t>
        </is>
      </c>
      <c r="K90" s="16" t="inlineStr">
        <is>
          <t>1</t>
        </is>
      </c>
      <c r="L90" s="16" t="inlineStr">
        <is>
          <t>Encuestador A</t>
        </is>
      </c>
      <c r="M90" s="16" t="inlineStr">
        <is>
          <t>Puesto 2</t>
        </is>
      </c>
      <c r="N90" s="16" t="inlineStr">
        <is>
          <t>Sí</t>
        </is>
      </c>
      <c r="O90" s="16" t="inlineStr">
        <is>
          <t>Sí</t>
        </is>
      </c>
      <c r="P90" s="16" t="n">
        <v>39</v>
      </c>
      <c r="Q90" s="16" t="inlineStr">
        <is>
          <t>Sí</t>
        </is>
      </c>
      <c r="R90" s="16" t="inlineStr">
        <is>
          <t>Sí</t>
        </is>
      </c>
      <c r="S90" s="16" t="inlineStr">
        <is>
          <t>Sí</t>
        </is>
      </c>
      <c r="T90" s="16" t="inlineStr">
        <is>
          <t>finalizado</t>
        </is>
      </c>
      <c r="U90" s="16" t="inlineStr">
        <is>
          <t>2026-10-v2</t>
        </is>
      </c>
      <c r="V90" s="16" t="inlineStr">
        <is>
          <t>2026-09-25T15:00:00.000Z</t>
        </is>
      </c>
      <c r="W90" s="16" t="inlineStr">
        <is>
          <t>Argentina</t>
        </is>
      </c>
      <c r="Y90" s="16" t="inlineStr">
        <is>
          <t>Terciario incompleto</t>
        </is>
      </c>
      <c r="Z90" s="16" t="inlineStr">
        <is>
          <t>Sí</t>
        </is>
      </c>
      <c r="AA90" s="16" t="inlineStr">
        <is>
          <t>3</t>
        </is>
      </c>
      <c r="AB90" s="16" t="inlineStr">
        <is>
          <t>5</t>
        </is>
      </c>
      <c r="AC90" s="16" t="inlineStr">
        <is>
          <t>Guaraní</t>
        </is>
      </c>
      <c r="AE90" s="16" t="inlineStr">
        <is>
          <t>Español</t>
        </is>
      </c>
      <c r="AG90" s="16" t="inlineStr">
        <is>
          <t>Argentina</t>
        </is>
      </c>
      <c r="AI90" s="16" t="inlineStr">
        <is>
          <t>Bueno</t>
        </is>
      </c>
      <c r="AJ90" s="16" t="n">
        <v>2</v>
      </c>
      <c r="AK90" s="16" t="inlineStr">
        <is>
          <t>Viaje internacional</t>
        </is>
      </c>
      <c r="AL90" s="16" t="inlineStr">
        <is>
          <t>Una vez al mes</t>
        </is>
      </c>
      <c r="AN90" s="16" t="inlineStr">
        <is>
          <t>2 veces por semana</t>
        </is>
      </c>
      <c r="AP90" s="16" t="inlineStr">
        <is>
          <t>Empleado</t>
        </is>
      </c>
      <c r="AR90" s="16" t="inlineStr">
        <is>
          <t>Parcialmente conforme</t>
        </is>
      </c>
      <c r="AS90" s="16" t="inlineStr">
        <is>
          <t>Sí</t>
        </is>
      </c>
      <c r="AT90" s="16" t="n">
        <v>2.9</v>
      </c>
      <c r="AU90" s="16" t="inlineStr">
        <is>
          <t>Sí</t>
        </is>
      </c>
      <c r="AV90" s="16" t="inlineStr">
        <is>
          <t>Estaciones de servicio</t>
        </is>
      </c>
      <c r="AX90" s="16" t="n">
        <v>5.4</v>
      </c>
      <c r="AY90" s="16" t="inlineStr">
        <is>
          <t>Varias veces por semana</t>
        </is>
      </c>
      <c r="AZ90" s="16" t="inlineStr">
        <is>
          <t>Agua</t>
        </is>
      </c>
      <c r="BB90" s="16" t="inlineStr">
        <is>
          <t>Nunca</t>
        </is>
      </c>
      <c r="BC90" s="16" t="inlineStr">
        <is>
          <t>Rara vez</t>
        </is>
      </c>
      <c r="BD90" s="16" t="inlineStr">
        <is>
          <t>No</t>
        </is>
      </c>
      <c r="BE90" s="16" t="inlineStr">
        <is>
          <t>Sí</t>
        </is>
      </c>
      <c r="BF90" s="16" t="inlineStr">
        <is>
          <t>Obra social</t>
        </is>
      </c>
      <c r="BG90" s="16" t="inlineStr">
        <is>
          <t>Sistema privado</t>
        </is>
      </c>
      <c r="BH90" s="16" t="inlineStr">
        <is>
          <t>2 veces al año</t>
        </is>
      </c>
      <c r="BI90" s="16" t="inlineStr">
        <is>
          <t>Sistema privado</t>
        </is>
      </c>
      <c r="BJ90" s="16" t="inlineStr">
        <is>
          <t>Sí</t>
        </is>
      </c>
      <c r="BK90" s="16" t="inlineStr">
        <is>
          <t>Rodillas</t>
        </is>
      </c>
      <c r="BL90" s="16" t="inlineStr">
        <is>
          <t>Medicamentos; Hierbas</t>
        </is>
      </c>
      <c r="BM90" s="16" t="inlineStr">
        <is>
          <t>Ibuprofeno</t>
        </is>
      </c>
      <c r="BN90" s="16" t="inlineStr">
        <is>
          <t>Obesidad</t>
        </is>
      </c>
      <c r="BP90" s="16" t="inlineStr">
        <is>
          <t>Rara vez</t>
        </is>
      </c>
      <c r="BQ90" s="16" t="inlineStr">
        <is>
          <t>Café</t>
        </is>
      </c>
      <c r="BS90" s="16" t="inlineStr">
        <is>
          <t>Sí</t>
        </is>
      </c>
      <c r="BT90" s="16" t="inlineStr">
        <is>
          <t>Sí</t>
        </is>
      </c>
      <c r="BU90" s="16" t="inlineStr">
        <is>
          <t>Siempre</t>
        </is>
      </c>
      <c r="BV90" s="16" t="inlineStr">
        <is>
          <t>No</t>
        </is>
      </c>
      <c r="BW90" s="16" t="inlineStr">
        <is>
          <t>No</t>
        </is>
      </c>
      <c r="BX90" s="16" t="inlineStr">
        <is>
          <t>Varón</t>
        </is>
      </c>
      <c r="BY90" s="16" t="n">
        <v>102.6</v>
      </c>
      <c r="BZ90" s="16" t="n">
        <v>1.75</v>
      </c>
      <c r="CA90" s="16" t="n">
        <v>33.5</v>
      </c>
      <c r="CB90" s="16" t="n">
        <v>84</v>
      </c>
      <c r="CC90" s="16" t="n">
        <v>123</v>
      </c>
      <c r="CD90" s="16" t="n">
        <v>78</v>
      </c>
      <c r="CE90" s="16" t="inlineStr">
        <is>
          <t>No</t>
        </is>
      </c>
      <c r="CF90" s="16" t="inlineStr">
        <is>
          <t>No</t>
        </is>
      </c>
      <c r="CG90" s="16" t="inlineStr">
        <is>
          <t>No</t>
        </is>
      </c>
      <c r="CH90" s="16" t="inlineStr">
        <is>
          <t>No</t>
        </is>
      </c>
      <c r="CI90" s="16" t="inlineStr">
        <is>
          <t>No</t>
        </is>
      </c>
      <c r="CJ90" s="16" t="inlineStr">
        <is>
          <t>Sí, primer grado</t>
        </is>
      </c>
      <c r="CK90" s="16" t="inlineStr">
        <is>
          <t>No</t>
        </is>
      </c>
      <c r="CL90" s="16" t="inlineStr">
        <is>
          <t>Sí</t>
        </is>
      </c>
      <c r="CM90" s="16" t="inlineStr">
        <is>
          <t>07:37</t>
        </is>
      </c>
      <c r="CN90" s="16" t="inlineStr">
        <is>
          <t>Mate</t>
        </is>
      </c>
      <c r="CO90" s="16" t="inlineStr">
        <is>
          <t>14:30</t>
        </is>
      </c>
      <c r="CP90" s="16" t="n">
        <v>156</v>
      </c>
      <c r="CQ90" s="16" t="n">
        <v>413</v>
      </c>
      <c r="CR90" s="16" t="inlineStr">
        <is>
          <t>Sí</t>
        </is>
      </c>
      <c r="CS90" s="16" t="n">
        <v>11</v>
      </c>
      <c r="CT90" s="16" t="inlineStr">
        <is>
          <t>Ligeramente elevado</t>
        </is>
      </c>
      <c r="CU90" s="16" t="inlineStr">
        <is>
          <t>4 %</t>
        </is>
      </c>
      <c r="CV90" s="16" t="inlineStr">
        <is>
          <t>Sí</t>
        </is>
      </c>
      <c r="CW90" s="16" t="n">
        <v>-6</v>
      </c>
      <c r="CX90" s="16" t="inlineStr">
        <is>
          <t>&lt;1</t>
        </is>
      </c>
      <c r="CY90" s="16" t="inlineStr">
        <is>
          <t>Bajo</t>
        </is>
      </c>
    </row>
    <row r="91">
      <c r="A91" s="16" t="inlineStr">
        <is>
          <t>demo-90</t>
        </is>
      </c>
      <c r="B91" s="16" t="inlineStr">
        <is>
          <t>B1-0090</t>
        </is>
      </c>
      <c r="C91" s="16" t="inlineStr">
        <is>
          <t>289-50-4600</t>
        </is>
      </c>
      <c r="D91" s="16" t="n">
        <v>289</v>
      </c>
      <c r="E91" s="16" t="n">
        <v>50</v>
      </c>
      <c r="F91" s="16" t="inlineStr">
        <is>
          <t>4600</t>
        </is>
      </c>
      <c r="G91" s="17" t="n">
        <v>46290</v>
      </c>
      <c r="H91" s="16" t="inlineStr">
        <is>
          <t>11:04</t>
        </is>
      </c>
      <c r="J91" s="16" t="inlineStr">
        <is>
          <t>B</t>
        </is>
      </c>
      <c r="K91" s="16" t="inlineStr">
        <is>
          <t>1</t>
        </is>
      </c>
      <c r="L91" s="16" t="inlineStr">
        <is>
          <t>Encuestador B</t>
        </is>
      </c>
      <c r="M91" s="16" t="inlineStr">
        <is>
          <t>Puesto 1</t>
        </is>
      </c>
      <c r="N91" s="16" t="inlineStr">
        <is>
          <t>Sí</t>
        </is>
      </c>
      <c r="O91" s="16" t="inlineStr">
        <is>
          <t>No</t>
        </is>
      </c>
      <c r="P91" s="16" t="n">
        <v>39</v>
      </c>
      <c r="Q91" s="16" t="inlineStr">
        <is>
          <t>Sí</t>
        </is>
      </c>
      <c r="R91" s="16" t="inlineStr">
        <is>
          <t>Sí</t>
        </is>
      </c>
      <c r="S91" s="16" t="inlineStr">
        <is>
          <t>Sí</t>
        </is>
      </c>
      <c r="T91" s="16" t="inlineStr">
        <is>
          <t>finalizado</t>
        </is>
      </c>
      <c r="U91" s="16" t="inlineStr">
        <is>
          <t>2026-10-v2</t>
        </is>
      </c>
      <c r="V91" s="16" t="inlineStr">
        <is>
          <t>2026-09-25T15:00:00.000Z</t>
        </is>
      </c>
      <c r="W91" s="16" t="inlineStr">
        <is>
          <t>Argentina</t>
        </is>
      </c>
      <c r="Y91" s="16" t="inlineStr">
        <is>
          <t>Secundaria incompleta</t>
        </is>
      </c>
      <c r="Z91" s="16" t="inlineStr">
        <is>
          <t>No</t>
        </is>
      </c>
      <c r="AA91" s="16" t="inlineStr">
        <is>
          <t>2</t>
        </is>
      </c>
      <c r="AB91" s="16" t="inlineStr">
        <is>
          <t>1</t>
        </is>
      </c>
      <c r="AC91" s="16" t="inlineStr">
        <is>
          <t>Español</t>
        </is>
      </c>
      <c r="AE91" s="16" t="inlineStr">
        <is>
          <t>Español</t>
        </is>
      </c>
      <c r="AG91" s="16" t="inlineStr">
        <is>
          <t>Argentina</t>
        </is>
      </c>
      <c r="AI91" s="16" t="inlineStr">
        <is>
          <t>Regular</t>
        </is>
      </c>
      <c r="AJ91" s="16" t="n">
        <v>25</v>
      </c>
      <c r="AK91" s="16" t="inlineStr">
        <is>
          <t>Viaje internacional</t>
        </is>
      </c>
      <c r="AL91" s="16" t="inlineStr">
        <is>
          <t>2 veces por semana</t>
        </is>
      </c>
      <c r="AN91" s="16" t="inlineStr">
        <is>
          <t>Una vez a la semana</t>
        </is>
      </c>
      <c r="AP91" s="16" t="inlineStr">
        <is>
          <t>Otro</t>
        </is>
      </c>
      <c r="AR91" s="16" t="inlineStr">
        <is>
          <t>Disconforme</t>
        </is>
      </c>
      <c r="AS91" s="16" t="inlineStr">
        <is>
          <t>Sí</t>
        </is>
      </c>
      <c r="AT91" s="16" t="n">
        <v>3.2</v>
      </c>
      <c r="AU91" s="16" t="inlineStr">
        <is>
          <t>Sí</t>
        </is>
      </c>
      <c r="AV91" s="16" t="inlineStr">
        <is>
          <t>En el camión al costado de la ruta; Estaciones de servicio</t>
        </is>
      </c>
      <c r="AX91" s="16" t="n">
        <v>5.2</v>
      </c>
      <c r="AY91" s="16" t="inlineStr">
        <is>
          <t>Varias veces por semana</t>
        </is>
      </c>
      <c r="AZ91" s="16" t="inlineStr">
        <is>
          <t>Café; Mate</t>
        </is>
      </c>
      <c r="BB91" s="16" t="inlineStr">
        <is>
          <t>Sí, siempre</t>
        </is>
      </c>
      <c r="BC91" s="16" t="inlineStr">
        <is>
          <t>Rara vez</t>
        </is>
      </c>
      <c r="BD91" s="16" t="inlineStr">
        <is>
          <t>No</t>
        </is>
      </c>
      <c r="BE91" s="16" t="inlineStr">
        <is>
          <t>Parcialmente</t>
        </is>
      </c>
      <c r="BF91" s="16" t="inlineStr">
        <is>
          <t>Seguro de salud</t>
        </is>
      </c>
      <c r="BG91" s="16" t="inlineStr">
        <is>
          <t>Sistema privado</t>
        </is>
      </c>
      <c r="BH91" s="16" t="inlineStr">
        <is>
          <t>Nunca</t>
        </is>
      </c>
      <c r="BI91" s="16" t="inlineStr">
        <is>
          <t>Sistema público</t>
        </is>
      </c>
      <c r="BJ91" s="16" t="inlineStr">
        <is>
          <t>Sí</t>
        </is>
      </c>
      <c r="BK91" s="16" t="inlineStr">
        <is>
          <t>Rodillas</t>
        </is>
      </c>
      <c r="BL91" s="16" t="inlineStr">
        <is>
          <t>Medicamentos</t>
        </is>
      </c>
      <c r="BM91" s="16" t="inlineStr">
        <is>
          <t>Ibuprofeno</t>
        </is>
      </c>
      <c r="BN91" s="16" t="inlineStr">
        <is>
          <t>No tengo diagnóstico de enfermedad</t>
        </is>
      </c>
      <c r="BP91" s="16" t="inlineStr">
        <is>
          <t>Rara vez</t>
        </is>
      </c>
      <c r="BQ91" s="16" t="inlineStr">
        <is>
          <t>Energizantes (Speed, Monster, Red Bull, etc.)</t>
        </is>
      </c>
      <c r="BS91" s="16" t="inlineStr">
        <is>
          <t>No</t>
        </is>
      </c>
      <c r="BT91" s="16" t="inlineStr">
        <is>
          <t>Sí</t>
        </is>
      </c>
      <c r="BU91" s="16" t="inlineStr">
        <is>
          <t>A veces</t>
        </is>
      </c>
      <c r="BV91" s="16" t="inlineStr">
        <is>
          <t>No</t>
        </is>
      </c>
      <c r="BW91" s="16" t="inlineStr">
        <is>
          <t>No</t>
        </is>
      </c>
      <c r="BX91" s="16" t="inlineStr">
        <is>
          <t>Varón</t>
        </is>
      </c>
      <c r="BY91" s="16" t="n">
        <v>107.1</v>
      </c>
      <c r="BZ91" s="16" t="n">
        <v>1.78</v>
      </c>
      <c r="CA91" s="16" t="n">
        <v>33.8</v>
      </c>
      <c r="CB91" s="16" t="n">
        <v>114</v>
      </c>
      <c r="CC91" s="16" t="n">
        <v>166</v>
      </c>
      <c r="CD91" s="16" t="n">
        <v>105</v>
      </c>
      <c r="CE91" s="16" t="inlineStr">
        <is>
          <t>No</t>
        </is>
      </c>
      <c r="CF91" s="16" t="inlineStr">
        <is>
          <t>No</t>
        </is>
      </c>
      <c r="CG91" s="16" t="inlineStr">
        <is>
          <t>No</t>
        </is>
      </c>
      <c r="CH91" s="16" t="inlineStr">
        <is>
          <t>No</t>
        </is>
      </c>
      <c r="CI91" s="16" t="inlineStr">
        <is>
          <t>No</t>
        </is>
      </c>
      <c r="CJ91" s="16" t="inlineStr">
        <is>
          <t>No</t>
        </is>
      </c>
      <c r="CK91" s="16" t="inlineStr">
        <is>
          <t>No</t>
        </is>
      </c>
      <c r="CL91" s="16" t="inlineStr">
        <is>
          <t>Sí</t>
        </is>
      </c>
      <c r="CM91" s="16" t="inlineStr">
        <is>
          <t>07:45</t>
        </is>
      </c>
      <c r="CN91" s="16" t="inlineStr">
        <is>
          <t>Mate</t>
        </is>
      </c>
      <c r="CO91" s="16" t="inlineStr">
        <is>
          <t>14:30</t>
        </is>
      </c>
      <c r="CP91" s="16" t="n">
        <v>167</v>
      </c>
      <c r="CQ91" s="16" t="n">
        <v>405</v>
      </c>
      <c r="CR91" s="16" t="inlineStr">
        <is>
          <t>Sí</t>
        </is>
      </c>
      <c r="CS91" s="16" t="n">
        <v>12</v>
      </c>
      <c r="CT91" s="16" t="inlineStr">
        <is>
          <t>Moderado</t>
        </is>
      </c>
      <c r="CU91" s="16" t="inlineStr">
        <is>
          <t>17 %</t>
        </is>
      </c>
      <c r="CV91" s="16" t="inlineStr">
        <is>
          <t>Sí</t>
        </is>
      </c>
      <c r="CW91" s="16" t="n">
        <v>10</v>
      </c>
      <c r="CX91" s="16" t="inlineStr">
        <is>
          <t>6</t>
        </is>
      </c>
      <c r="CY91" s="16" t="inlineStr">
        <is>
          <t>Bajo</t>
        </is>
      </c>
    </row>
    <row r="92">
      <c r="A92" s="16" t="inlineStr">
        <is>
          <t>demo-91</t>
        </is>
      </c>
      <c r="B92" s="16" t="inlineStr">
        <is>
          <t>C1-0091</t>
        </is>
      </c>
      <c r="C92" s="16" t="inlineStr">
        <is>
          <t>490-48-4500</t>
        </is>
      </c>
      <c r="D92" s="16" t="n">
        <v>490</v>
      </c>
      <c r="E92" s="16" t="n">
        <v>48</v>
      </c>
      <c r="F92" s="16" t="inlineStr">
        <is>
          <t>4500</t>
        </is>
      </c>
      <c r="G92" s="17" t="n">
        <v>46291</v>
      </c>
      <c r="H92" s="16" t="inlineStr">
        <is>
          <t>16:06</t>
        </is>
      </c>
      <c r="J92" s="16" t="inlineStr">
        <is>
          <t>C</t>
        </is>
      </c>
      <c r="K92" s="16" t="inlineStr">
        <is>
          <t>1</t>
        </is>
      </c>
      <c r="L92" s="16" t="inlineStr">
        <is>
          <t>Encuestador C</t>
        </is>
      </c>
      <c r="M92" s="16" t="inlineStr">
        <is>
          <t>Puesto 2</t>
        </is>
      </c>
      <c r="N92" s="16" t="inlineStr">
        <is>
          <t>Sí</t>
        </is>
      </c>
      <c r="O92" s="16" t="inlineStr">
        <is>
          <t>No</t>
        </is>
      </c>
      <c r="P92" s="16" t="n">
        <v>39</v>
      </c>
      <c r="Q92" s="16" t="inlineStr">
        <is>
          <t>Sí</t>
        </is>
      </c>
      <c r="R92" s="16" t="inlineStr">
        <is>
          <t>Sí</t>
        </is>
      </c>
      <c r="S92" s="16" t="inlineStr">
        <is>
          <t>Sí</t>
        </is>
      </c>
      <c r="T92" s="16" t="inlineStr">
        <is>
          <t>borrador</t>
        </is>
      </c>
      <c r="U92" s="16" t="inlineStr">
        <is>
          <t>2026-10-v2</t>
        </is>
      </c>
      <c r="V92" s="16" t="inlineStr">
        <is>
          <t>2026-09-26T15:00:00.000Z</t>
        </is>
      </c>
      <c r="W92" s="16" t="inlineStr">
        <is>
          <t>Brasil</t>
        </is>
      </c>
      <c r="Y92" s="16" t="inlineStr">
        <is>
          <t>Terciario completo</t>
        </is>
      </c>
      <c r="Z92" s="16" t="inlineStr">
        <is>
          <t>No</t>
        </is>
      </c>
      <c r="AA92" s="16" t="inlineStr">
        <is>
          <t>Más de 5</t>
        </is>
      </c>
      <c r="AB92" s="16" t="inlineStr">
        <is>
          <t>1</t>
        </is>
      </c>
      <c r="AC92" s="16" t="inlineStr">
        <is>
          <t>Español</t>
        </is>
      </c>
      <c r="AE92" s="16" t="inlineStr">
        <is>
          <t>Español</t>
        </is>
      </c>
      <c r="AG92" s="16" t="inlineStr">
        <is>
          <t>Argentina</t>
        </is>
      </c>
      <c r="AI92" s="16" t="inlineStr">
        <is>
          <t>Bueno</t>
        </is>
      </c>
      <c r="AJ92" s="16" t="n">
        <v>22</v>
      </c>
      <c r="AK92" s="16" t="inlineStr">
        <is>
          <t>Viaje provincial (Jujuy)</t>
        </is>
      </c>
      <c r="AL92" s="16" t="inlineStr">
        <is>
          <t>Quincenalmente</t>
        </is>
      </c>
      <c r="AN92" s="16" t="inlineStr">
        <is>
          <t>Una vez a la semana</t>
        </is>
      </c>
      <c r="AP92" s="16" t="inlineStr">
        <is>
          <t>Otro</t>
        </is>
      </c>
      <c r="AR92" s="16" t="inlineStr">
        <is>
          <t>Disconforme</t>
        </is>
      </c>
      <c r="AS92" s="16" t="inlineStr">
        <is>
          <t>Duda</t>
        </is>
      </c>
      <c r="AT92" s="16" t="n">
        <v>7.2</v>
      </c>
      <c r="AU92" s="16" t="inlineStr">
        <is>
          <t>Sí</t>
        </is>
      </c>
      <c r="AV92" s="16" t="inlineStr">
        <is>
          <t>Paradores; Estaciones de servicio</t>
        </is>
      </c>
      <c r="AX92" s="16" t="n">
        <v>4.1</v>
      </c>
      <c r="AY92" s="16" t="inlineStr">
        <is>
          <t>Nunca</t>
        </is>
      </c>
      <c r="AZ92" s="16" t="inlineStr">
        <is>
          <t>Gaseosas; Mate</t>
        </is>
      </c>
      <c r="BB92" s="16" t="inlineStr">
        <is>
          <t>Casi nunca</t>
        </is>
      </c>
      <c r="BC92" s="16" t="inlineStr">
        <is>
          <t>Algunas veces</t>
        </is>
      </c>
      <c r="BD92" s="16" t="inlineStr">
        <is>
          <t>No</t>
        </is>
      </c>
      <c r="BE92" s="16" t="inlineStr">
        <is>
          <t>No</t>
        </is>
      </c>
      <c r="BF92" s="16" t="inlineStr">
        <is>
          <t>Ninguna</t>
        </is>
      </c>
      <c r="BG92" s="16" t="inlineStr">
        <is>
          <t>Sistema público</t>
        </is>
      </c>
      <c r="BH92" s="16" t="inlineStr">
        <is>
          <t>2 veces al año</t>
        </is>
      </c>
      <c r="BI92" s="16" t="inlineStr">
        <is>
          <t>Sistema público</t>
        </is>
      </c>
      <c r="BJ92" s="16" t="inlineStr">
        <is>
          <t>Sí</t>
        </is>
      </c>
      <c r="BK92" s="16" t="inlineStr">
        <is>
          <t>Lumbar</t>
        </is>
      </c>
      <c r="BL92" s="16" t="inlineStr">
        <is>
          <t>Medicamentos</t>
        </is>
      </c>
      <c r="BM92" s="16" t="inlineStr">
        <is>
          <t>Ibuprofeno</t>
        </is>
      </c>
      <c r="BN92" s="16" t="inlineStr">
        <is>
          <t>Obesidad</t>
        </is>
      </c>
      <c r="BP92" s="16" t="inlineStr">
        <is>
          <t>Nunca</t>
        </is>
      </c>
      <c r="BQ92" s="16" t="inlineStr">
        <is>
          <t>Energizantes (Speed, Monster, Red Bull, etc.)</t>
        </is>
      </c>
      <c r="BS92" s="16" t="inlineStr">
        <is>
          <t>Sí</t>
        </is>
      </c>
      <c r="BT92" s="16" t="inlineStr">
        <is>
          <t>No</t>
        </is>
      </c>
      <c r="BU92" s="16" t="inlineStr">
        <is>
          <t>Siempre</t>
        </is>
      </c>
      <c r="BV92" s="16" t="inlineStr">
        <is>
          <t>Sí</t>
        </is>
      </c>
      <c r="BW92" s="16" t="inlineStr">
        <is>
          <t>No</t>
        </is>
      </c>
      <c r="BX92" s="16" t="inlineStr">
        <is>
          <t>Varón</t>
        </is>
      </c>
      <c r="BY92" s="16" t="n">
        <v>117</v>
      </c>
      <c r="BZ92" s="16" t="n">
        <v>1.85</v>
      </c>
      <c r="CA92" s="16" t="n">
        <v>34.2</v>
      </c>
      <c r="CB92" s="16" t="n">
        <v>79</v>
      </c>
      <c r="CC92" s="16" t="n">
        <v>146</v>
      </c>
      <c r="CD92" s="16" t="n">
        <v>93</v>
      </c>
      <c r="CE92" s="16" t="inlineStr">
        <is>
          <t>Sí</t>
        </is>
      </c>
      <c r="CF92" s="16" t="inlineStr">
        <is>
          <t>No</t>
        </is>
      </c>
      <c r="CG92" s="16" t="inlineStr">
        <is>
          <t>No</t>
        </is>
      </c>
      <c r="CH92" s="16" t="inlineStr">
        <is>
          <t>Sí</t>
        </is>
      </c>
      <c r="CI92" s="16" t="inlineStr">
        <is>
          <t>No</t>
        </is>
      </c>
      <c r="CJ92" s="16" t="inlineStr">
        <is>
          <t>Sí, primer grado</t>
        </is>
      </c>
      <c r="CK92" s="16" t="inlineStr">
        <is>
          <t>No</t>
        </is>
      </c>
      <c r="CL92" s="16" t="inlineStr">
        <is>
          <t>Sí</t>
        </is>
      </c>
      <c r="CM92" s="16" t="inlineStr">
        <is>
          <t>07:48</t>
        </is>
      </c>
      <c r="CN92" s="16" t="inlineStr">
        <is>
          <t>Mate</t>
        </is>
      </c>
      <c r="CO92" s="16" t="inlineStr">
        <is>
          <t>13:30</t>
        </is>
      </c>
      <c r="CP92" s="16" t="n">
        <v>156</v>
      </c>
      <c r="CQ92" s="16" t="n">
        <v>342</v>
      </c>
      <c r="CR92" s="16" t="inlineStr">
        <is>
          <t>Sí</t>
        </is>
      </c>
      <c r="CS92" s="16" t="n">
        <v>13</v>
      </c>
      <c r="CT92" s="16" t="inlineStr">
        <is>
          <t>Moderado</t>
        </is>
      </c>
      <c r="CU92" s="16" t="inlineStr">
        <is>
          <t>17 %</t>
        </is>
      </c>
      <c r="CV92" s="16" t="inlineStr">
        <is>
          <t>Sí</t>
        </is>
      </c>
      <c r="CW92" s="16" t="n">
        <v>7</v>
      </c>
      <c r="CX92" s="16" t="inlineStr">
        <is>
          <t>3</t>
        </is>
      </c>
      <c r="CY92" s="16" t="inlineStr">
        <is>
          <t>Bajo</t>
        </is>
      </c>
    </row>
    <row r="93">
      <c r="A93" s="16" t="inlineStr">
        <is>
          <t>demo-92</t>
        </is>
      </c>
      <c r="B93" s="16" t="inlineStr">
        <is>
          <t>A1-0092</t>
        </is>
      </c>
      <c r="C93" s="16" t="inlineStr">
        <is>
          <t>092-57-4500</t>
        </is>
      </c>
      <c r="D93" s="16" t="n">
        <v>92</v>
      </c>
      <c r="E93" s="16" t="n">
        <v>57</v>
      </c>
      <c r="F93" s="16" t="inlineStr">
        <is>
          <t>4500</t>
        </is>
      </c>
      <c r="G93" s="17" t="n">
        <v>46302</v>
      </c>
      <c r="H93" s="16" t="inlineStr">
        <is>
          <t>16:02</t>
        </is>
      </c>
      <c r="J93" s="16" t="inlineStr">
        <is>
          <t>A</t>
        </is>
      </c>
      <c r="K93" s="16" t="inlineStr">
        <is>
          <t>1</t>
        </is>
      </c>
      <c r="L93" s="16" t="inlineStr">
        <is>
          <t>Encuestador A</t>
        </is>
      </c>
      <c r="M93" s="16" t="inlineStr">
        <is>
          <t>Puesto 2</t>
        </is>
      </c>
      <c r="N93" s="16" t="inlineStr">
        <is>
          <t>Sí</t>
        </is>
      </c>
      <c r="O93" s="16" t="inlineStr">
        <is>
          <t>No</t>
        </is>
      </c>
      <c r="P93" s="16" t="n">
        <v>39</v>
      </c>
      <c r="Q93" s="16" t="inlineStr">
        <is>
          <t>Sí</t>
        </is>
      </c>
      <c r="R93" s="16" t="inlineStr">
        <is>
          <t>No</t>
        </is>
      </c>
      <c r="S93" s="16" t="inlineStr">
        <is>
          <t>No</t>
        </is>
      </c>
      <c r="T93" s="16" t="inlineStr">
        <is>
          <t>finalizado</t>
        </is>
      </c>
      <c r="U93" s="16" t="inlineStr">
        <is>
          <t>2026-10-v2</t>
        </is>
      </c>
      <c r="V93" s="16" t="inlineStr">
        <is>
          <t>2026-10-07T15:00:00.000Z</t>
        </is>
      </c>
      <c r="W93" s="16" t="inlineStr">
        <is>
          <t>Brasil</t>
        </is>
      </c>
      <c r="Y93" s="16" t="inlineStr">
        <is>
          <t>Primaria completa</t>
        </is>
      </c>
      <c r="Z93" s="16" t="inlineStr">
        <is>
          <t>Sí</t>
        </is>
      </c>
      <c r="AA93" s="16" t="inlineStr">
        <is>
          <t>5</t>
        </is>
      </c>
      <c r="AB93" s="16" t="inlineStr">
        <is>
          <t>2</t>
        </is>
      </c>
      <c r="AC93" s="16" t="inlineStr">
        <is>
          <t>Portugués; Inglés</t>
        </is>
      </c>
      <c r="AE93" s="16" t="inlineStr">
        <is>
          <t>Español</t>
        </is>
      </c>
      <c r="AG93" s="16" t="inlineStr">
        <is>
          <t>Argentina</t>
        </is>
      </c>
      <c r="AI93" s="16" t="inlineStr">
        <is>
          <t>Muy bueno</t>
        </is>
      </c>
      <c r="AJ93" s="16" t="n">
        <v>18</v>
      </c>
      <c r="AK93" s="16" t="inlineStr">
        <is>
          <t>Viaje provincial (Jujuy)</t>
        </is>
      </c>
      <c r="AL93" s="16" t="inlineStr">
        <is>
          <t>2 veces por semana</t>
        </is>
      </c>
      <c r="AN93" s="16" t="inlineStr">
        <is>
          <t>2 veces por semana</t>
        </is>
      </c>
      <c r="AP93" s="16" t="inlineStr">
        <is>
          <t>Empleado</t>
        </is>
      </c>
      <c r="AR93" s="16" t="inlineStr">
        <is>
          <t>Disconforme</t>
        </is>
      </c>
      <c r="AS93" s="16" t="inlineStr">
        <is>
          <t>Duda</t>
        </is>
      </c>
      <c r="AT93" s="16" t="n">
        <v>5.5</v>
      </c>
      <c r="AU93" s="16" t="inlineStr">
        <is>
          <t>Sí</t>
        </is>
      </c>
      <c r="AV93" s="16" t="inlineStr">
        <is>
          <t>En el camión al costado de la ruta</t>
        </is>
      </c>
      <c r="AX93" s="16" t="n">
        <v>7.2</v>
      </c>
      <c r="AY93" s="16" t="inlineStr">
        <is>
          <t>Todos los días</t>
        </is>
      </c>
      <c r="AZ93" s="16" t="inlineStr">
        <is>
          <t>Café; Agua</t>
        </is>
      </c>
      <c r="BB93" s="16" t="inlineStr">
        <is>
          <t>A veces</t>
        </is>
      </c>
      <c r="BC93" s="16" t="inlineStr">
        <is>
          <t>No</t>
        </is>
      </c>
      <c r="BD93" s="16" t="inlineStr">
        <is>
          <t>No</t>
        </is>
      </c>
      <c r="BE93" s="16" t="inlineStr">
        <is>
          <t>Sí</t>
        </is>
      </c>
      <c r="BF93" s="16" t="inlineStr">
        <is>
          <t>Ninguna</t>
        </is>
      </c>
      <c r="BG93" s="16" t="inlineStr">
        <is>
          <t>Sistema privado</t>
        </is>
      </c>
      <c r="BH93" s="16" t="inlineStr">
        <is>
          <t>Una vez al año</t>
        </is>
      </c>
      <c r="BI93" s="16" t="inlineStr">
        <is>
          <t>Sistema público</t>
        </is>
      </c>
      <c r="BJ93" s="16" t="inlineStr">
        <is>
          <t>No</t>
        </is>
      </c>
      <c r="BL93" s="16" t="inlineStr">
        <is>
          <t>Medicamentos</t>
        </is>
      </c>
      <c r="BM93" s="16" t="inlineStr">
        <is>
          <t>Ibuprofeno</t>
        </is>
      </c>
      <c r="BN93" s="16" t="inlineStr">
        <is>
          <t>No tengo diagnóstico de enfermedad</t>
        </is>
      </c>
      <c r="BP93" s="16" t="inlineStr">
        <is>
          <t>Nunca</t>
        </is>
      </c>
      <c r="BQ93" s="16" t="inlineStr">
        <is>
          <t>Yerba mate</t>
        </is>
      </c>
      <c r="BS93" s="16" t="inlineStr">
        <is>
          <t>No</t>
        </is>
      </c>
      <c r="BT93" s="16" t="inlineStr">
        <is>
          <t>Sí</t>
        </is>
      </c>
      <c r="BU93" s="16" t="inlineStr">
        <is>
          <t>Nunca</t>
        </is>
      </c>
      <c r="BV93" s="16" t="inlineStr">
        <is>
          <t>Sí</t>
        </is>
      </c>
    </row>
    <row r="94">
      <c r="A94" s="16" t="inlineStr">
        <is>
          <t>demo-93</t>
        </is>
      </c>
      <c r="B94" s="16" t="inlineStr">
        <is>
          <t>B1-0093</t>
        </is>
      </c>
      <c r="C94" s="16" t="inlineStr">
        <is>
          <t>292-27-4612</t>
        </is>
      </c>
      <c r="D94" s="16" t="n">
        <v>292</v>
      </c>
      <c r="E94" s="16" t="n">
        <v>27</v>
      </c>
      <c r="F94" s="16" t="inlineStr">
        <is>
          <t>4612</t>
        </is>
      </c>
      <c r="G94" s="17" t="n">
        <v>46294</v>
      </c>
      <c r="H94" s="16" t="inlineStr">
        <is>
          <t>12:04</t>
        </is>
      </c>
      <c r="J94" s="16" t="inlineStr">
        <is>
          <t>B</t>
        </is>
      </c>
      <c r="K94" s="16" t="inlineStr">
        <is>
          <t>1</t>
        </is>
      </c>
      <c r="L94" s="16" t="inlineStr">
        <is>
          <t>Encuestador B</t>
        </is>
      </c>
      <c r="M94" s="16" t="inlineStr">
        <is>
          <t>Puesto 1</t>
        </is>
      </c>
      <c r="N94" s="16" t="inlineStr">
        <is>
          <t>Sí</t>
        </is>
      </c>
      <c r="O94" s="16" t="inlineStr">
        <is>
          <t>Sí</t>
        </is>
      </c>
      <c r="P94" s="16" t="n">
        <v>39</v>
      </c>
      <c r="Q94" s="16" t="inlineStr">
        <is>
          <t>Sí</t>
        </is>
      </c>
      <c r="R94" s="16" t="inlineStr">
        <is>
          <t>Sí</t>
        </is>
      </c>
      <c r="S94" s="16" t="inlineStr">
        <is>
          <t>Sí</t>
        </is>
      </c>
      <c r="T94" s="16" t="inlineStr">
        <is>
          <t>finalizado</t>
        </is>
      </c>
      <c r="U94" s="16" t="inlineStr">
        <is>
          <t>2026-10-v2</t>
        </is>
      </c>
      <c r="V94" s="16" t="inlineStr">
        <is>
          <t>2026-09-29T15:00:00.000Z</t>
        </is>
      </c>
      <c r="W94" s="16" t="inlineStr">
        <is>
          <t>Brasil</t>
        </is>
      </c>
      <c r="Y94" s="16" t="inlineStr">
        <is>
          <t>Terciario incompleto</t>
        </is>
      </c>
      <c r="Z94" s="16" t="inlineStr">
        <is>
          <t>Sí</t>
        </is>
      </c>
      <c r="AA94" s="16" t="inlineStr">
        <is>
          <t>Más de 5</t>
        </is>
      </c>
      <c r="AB94" s="16" t="inlineStr">
        <is>
          <t>4</t>
        </is>
      </c>
      <c r="AC94" s="16" t="inlineStr">
        <is>
          <t>Portugués</t>
        </is>
      </c>
      <c r="AE94" s="16" t="inlineStr">
        <is>
          <t>Español</t>
        </is>
      </c>
      <c r="AG94" s="16" t="inlineStr">
        <is>
          <t>Argentina</t>
        </is>
      </c>
      <c r="AI94" s="16" t="inlineStr">
        <is>
          <t>Malo</t>
        </is>
      </c>
      <c r="AJ94" s="16" t="n">
        <v>4</v>
      </c>
      <c r="AK94" s="16" t="inlineStr">
        <is>
          <t>Viaje interprovincial</t>
        </is>
      </c>
      <c r="AL94" s="16" t="inlineStr">
        <is>
          <t>Quincenalmente</t>
        </is>
      </c>
      <c r="AN94" s="16" t="inlineStr">
        <is>
          <t>3 veces por semana</t>
        </is>
      </c>
      <c r="AP94" s="16" t="inlineStr">
        <is>
          <t>Empleado</t>
        </is>
      </c>
      <c r="AR94" s="16" t="inlineStr">
        <is>
          <t>Parcialmente conforme</t>
        </is>
      </c>
      <c r="AS94" s="16" t="inlineStr">
        <is>
          <t>Duda</t>
        </is>
      </c>
      <c r="AT94" s="16" t="n">
        <v>7.9</v>
      </c>
      <c r="AU94" s="16" t="inlineStr">
        <is>
          <t>Sí</t>
        </is>
      </c>
      <c r="AV94" s="16" t="inlineStr">
        <is>
          <t>Estaciones de servicio</t>
        </is>
      </c>
      <c r="AX94" s="16" t="n">
        <v>5.2</v>
      </c>
      <c r="AY94" s="16" t="inlineStr">
        <is>
          <t>Casi nunca</t>
        </is>
      </c>
      <c r="AZ94" s="16" t="inlineStr">
        <is>
          <t>Mate</t>
        </is>
      </c>
      <c r="BB94" s="16" t="inlineStr">
        <is>
          <t>Nunca</t>
        </is>
      </c>
      <c r="BC94" s="16" t="inlineStr">
        <is>
          <t>No</t>
        </is>
      </c>
      <c r="BD94" s="16" t="inlineStr">
        <is>
          <t>No</t>
        </is>
      </c>
      <c r="BE94" s="16" t="inlineStr">
        <is>
          <t>No</t>
        </is>
      </c>
      <c r="BF94" s="16" t="inlineStr">
        <is>
          <t>Obra social</t>
        </is>
      </c>
      <c r="BG94" s="16" t="inlineStr">
        <is>
          <t>Sistema público</t>
        </is>
      </c>
      <c r="BH94" s="16" t="inlineStr">
        <is>
          <t>Nunca</t>
        </is>
      </c>
      <c r="BI94" s="16" t="inlineStr">
        <is>
          <t>Sistema privado</t>
        </is>
      </c>
      <c r="BJ94" s="16" t="inlineStr">
        <is>
          <t>Sí</t>
        </is>
      </c>
      <c r="BK94" s="16" t="inlineStr">
        <is>
          <t>Rodillas</t>
        </is>
      </c>
      <c r="BL94" s="16" t="inlineStr">
        <is>
          <t>Medicamentos</t>
        </is>
      </c>
      <c r="BM94" s="16" t="inlineStr">
        <is>
          <t>Ibuprofeno</t>
        </is>
      </c>
      <c r="BN94" s="16" t="inlineStr">
        <is>
          <t>Musculoesqueléticos; Digestivas</t>
        </is>
      </c>
      <c r="BP94" s="16" t="inlineStr">
        <is>
          <t>2 a 3 veces por semana</t>
        </is>
      </c>
      <c r="BQ94" s="16" t="inlineStr">
        <is>
          <t>Café; Coca-Cola</t>
        </is>
      </c>
      <c r="BS94" s="16" t="inlineStr">
        <is>
          <t>Sí</t>
        </is>
      </c>
      <c r="BT94" s="16" t="inlineStr">
        <is>
          <t>Sí</t>
        </is>
      </c>
      <c r="BU94" s="16" t="inlineStr">
        <is>
          <t>A veces</t>
        </is>
      </c>
      <c r="BV94" s="16" t="inlineStr">
        <is>
          <t>No</t>
        </is>
      </c>
      <c r="BW94" s="16" t="inlineStr">
        <is>
          <t>No</t>
        </is>
      </c>
      <c r="BX94" s="16" t="inlineStr">
        <is>
          <t>Varón</t>
        </is>
      </c>
      <c r="BY94" s="16" t="n">
        <v>64.8</v>
      </c>
      <c r="BZ94" s="16" t="n">
        <v>1.72</v>
      </c>
      <c r="CA94" s="16" t="n">
        <v>21.9</v>
      </c>
      <c r="CB94" s="16" t="n">
        <v>93</v>
      </c>
      <c r="CC94" s="16" t="n">
        <v>140</v>
      </c>
      <c r="CD94" s="16" t="n">
        <v>89</v>
      </c>
      <c r="CE94" s="16" t="inlineStr">
        <is>
          <t>Sí</t>
        </is>
      </c>
      <c r="CF94" s="16" t="inlineStr">
        <is>
          <t>No</t>
        </is>
      </c>
      <c r="CG94" s="16" t="inlineStr">
        <is>
          <t>No</t>
        </is>
      </c>
      <c r="CH94" s="16" t="inlineStr">
        <is>
          <t>No</t>
        </is>
      </c>
      <c r="CI94" s="16" t="inlineStr">
        <is>
          <t>Sí</t>
        </is>
      </c>
      <c r="CJ94" s="16" t="inlineStr">
        <is>
          <t>No</t>
        </is>
      </c>
      <c r="CK94" s="16" t="inlineStr">
        <is>
          <t>No</t>
        </is>
      </c>
      <c r="CL94" s="16" t="inlineStr">
        <is>
          <t>Sí</t>
        </is>
      </c>
      <c r="CM94" s="16" t="inlineStr">
        <is>
          <t>07:49</t>
        </is>
      </c>
      <c r="CN94" s="16" t="inlineStr">
        <is>
          <t>Mate</t>
        </is>
      </c>
      <c r="CO94" s="16" t="inlineStr">
        <is>
          <t>14:30</t>
        </is>
      </c>
      <c r="CP94" s="16" t="n">
        <v>169</v>
      </c>
      <c r="CQ94" s="16" t="n">
        <v>401</v>
      </c>
      <c r="CR94" s="16" t="inlineStr">
        <is>
          <t>Sí</t>
        </is>
      </c>
      <c r="CS94" s="16" t="n">
        <v>6</v>
      </c>
      <c r="CT94" s="16" t="inlineStr">
        <is>
          <t>Bajo</t>
        </is>
      </c>
      <c r="CU94" s="16" t="inlineStr">
        <is>
          <t>1 %</t>
        </is>
      </c>
      <c r="CV94" s="16" t="inlineStr">
        <is>
          <t>Sí</t>
        </is>
      </c>
      <c r="CW94" s="16" t="n">
        <v>-8</v>
      </c>
      <c r="CX94" s="16" t="inlineStr">
        <is>
          <t>&lt;1</t>
        </is>
      </c>
      <c r="CY94" s="16" t="inlineStr">
        <is>
          <t>Bajo</t>
        </is>
      </c>
    </row>
    <row r="95">
      <c r="A95" s="16" t="inlineStr">
        <is>
          <t>demo-94</t>
        </is>
      </c>
      <c r="B95" s="16" t="inlineStr">
        <is>
          <t>B1-0094</t>
        </is>
      </c>
      <c r="C95" s="16" t="inlineStr">
        <is>
          <t>293-44-4400</t>
        </is>
      </c>
      <c r="D95" s="16" t="n">
        <v>293</v>
      </c>
      <c r="E95" s="16" t="n">
        <v>44</v>
      </c>
      <c r="F95" s="16" t="inlineStr">
        <is>
          <t>4400</t>
        </is>
      </c>
      <c r="G95" s="17" t="n">
        <v>46291</v>
      </c>
      <c r="H95" s="16" t="inlineStr">
        <is>
          <t>14:05</t>
        </is>
      </c>
      <c r="J95" s="16" t="inlineStr">
        <is>
          <t>B</t>
        </is>
      </c>
      <c r="K95" s="16" t="inlineStr">
        <is>
          <t>1</t>
        </is>
      </c>
      <c r="L95" s="16" t="inlineStr">
        <is>
          <t>Encuestador B</t>
        </is>
      </c>
      <c r="M95" s="16" t="inlineStr">
        <is>
          <t>Puesto 2</t>
        </is>
      </c>
      <c r="N95" s="16" t="inlineStr">
        <is>
          <t>Sí</t>
        </is>
      </c>
      <c r="O95" s="16" t="inlineStr">
        <is>
          <t>No</t>
        </is>
      </c>
      <c r="P95" s="16" t="n">
        <v>38</v>
      </c>
      <c r="Q95" s="16" t="inlineStr">
        <is>
          <t>Sí</t>
        </is>
      </c>
      <c r="R95" s="16" t="inlineStr">
        <is>
          <t>Sí</t>
        </is>
      </c>
      <c r="S95" s="16" t="inlineStr">
        <is>
          <t>Sí</t>
        </is>
      </c>
      <c r="T95" s="16" t="inlineStr">
        <is>
          <t>finalizado</t>
        </is>
      </c>
      <c r="U95" s="16" t="inlineStr">
        <is>
          <t>2026-10-v2</t>
        </is>
      </c>
      <c r="V95" s="16" t="inlineStr">
        <is>
          <t>2026-09-26T15:00:00.000Z</t>
        </is>
      </c>
      <c r="W95" s="16" t="inlineStr">
        <is>
          <t>Argentina</t>
        </is>
      </c>
      <c r="Y95" s="16" t="inlineStr">
        <is>
          <t>Terciario incompleto</t>
        </is>
      </c>
      <c r="Z95" s="16" t="inlineStr">
        <is>
          <t>No</t>
        </is>
      </c>
      <c r="AA95" s="16" t="inlineStr">
        <is>
          <t>4</t>
        </is>
      </c>
      <c r="AB95" s="16" t="inlineStr">
        <is>
          <t>3</t>
        </is>
      </c>
      <c r="AC95" s="16" t="inlineStr">
        <is>
          <t>Guaraní</t>
        </is>
      </c>
      <c r="AE95" s="16" t="inlineStr">
        <is>
          <t>Español</t>
        </is>
      </c>
      <c r="AG95" s="16" t="inlineStr">
        <is>
          <t>Argentina</t>
        </is>
      </c>
      <c r="AI95" s="16" t="inlineStr">
        <is>
          <t>Bueno</t>
        </is>
      </c>
      <c r="AJ95" s="16" t="n">
        <v>23</v>
      </c>
      <c r="AK95" s="16" t="inlineStr">
        <is>
          <t>Viaje interprovincial</t>
        </is>
      </c>
      <c r="AL95" s="16" t="inlineStr">
        <is>
          <t>Quincenalmente</t>
        </is>
      </c>
      <c r="AN95" s="16" t="inlineStr">
        <is>
          <t>3 veces por semana</t>
        </is>
      </c>
      <c r="AP95" s="16" t="inlineStr">
        <is>
          <t>Empleado</t>
        </is>
      </c>
      <c r="AR95" s="16" t="inlineStr">
        <is>
          <t>Disconforme</t>
        </is>
      </c>
      <c r="AS95" s="16" t="inlineStr">
        <is>
          <t>Sí</t>
        </is>
      </c>
      <c r="AT95" s="16" t="n">
        <v>7.3</v>
      </c>
      <c r="AU95" s="16" t="inlineStr">
        <is>
          <t>Sí</t>
        </is>
      </c>
      <c r="AV95" s="16" t="inlineStr">
        <is>
          <t>Estaciones de servicio</t>
        </is>
      </c>
      <c r="AX95" s="16" t="n">
        <v>5.5</v>
      </c>
      <c r="AY95" s="16" t="inlineStr">
        <is>
          <t>Todos los días</t>
        </is>
      </c>
      <c r="AZ95" s="16" t="inlineStr">
        <is>
          <t>Gaseosas</t>
        </is>
      </c>
      <c r="BB95" s="16" t="inlineStr">
        <is>
          <t>A veces</t>
        </is>
      </c>
      <c r="BC95" s="16" t="inlineStr">
        <is>
          <t>No</t>
        </is>
      </c>
      <c r="BD95" s="16" t="inlineStr">
        <is>
          <t>No</t>
        </is>
      </c>
      <c r="BE95" s="16" t="inlineStr">
        <is>
          <t>Sí</t>
        </is>
      </c>
      <c r="BF95" s="16" t="inlineStr">
        <is>
          <t>Obra social; Prepaga</t>
        </is>
      </c>
      <c r="BG95" s="16" t="inlineStr">
        <is>
          <t>Sistema público</t>
        </is>
      </c>
      <c r="BH95" s="16" t="inlineStr">
        <is>
          <t>Una vez al año</t>
        </is>
      </c>
      <c r="BI95" s="16" t="inlineStr">
        <is>
          <t>Sistema privado</t>
        </is>
      </c>
      <c r="BJ95" s="16" t="inlineStr">
        <is>
          <t>No</t>
        </is>
      </c>
      <c r="BL95" s="16" t="inlineStr">
        <is>
          <t>Ninguno</t>
        </is>
      </c>
      <c r="BN95" s="16" t="inlineStr">
        <is>
          <t>No tengo diagnóstico de enfermedad</t>
        </is>
      </c>
      <c r="BP95" s="16" t="inlineStr">
        <is>
          <t>Nunca</t>
        </is>
      </c>
      <c r="BQ95" s="16" t="inlineStr">
        <is>
          <t>No</t>
        </is>
      </c>
      <c r="BS95" s="16" t="inlineStr">
        <is>
          <t>Sí</t>
        </is>
      </c>
      <c r="BT95" s="16" t="inlineStr">
        <is>
          <t>No</t>
        </is>
      </c>
      <c r="BU95" s="16" t="inlineStr">
        <is>
          <t>Siempre</t>
        </is>
      </c>
      <c r="BV95" s="16" t="inlineStr">
        <is>
          <t>Sí</t>
        </is>
      </c>
      <c r="BW95" s="16" t="inlineStr">
        <is>
          <t>Sí</t>
        </is>
      </c>
      <c r="BX95" s="16" t="inlineStr">
        <is>
          <t>Varón</t>
        </is>
      </c>
      <c r="BY95" s="16" t="n">
        <v>65.90000000000001</v>
      </c>
      <c r="BZ95" s="16" t="n">
        <v>1.63</v>
      </c>
      <c r="CA95" s="16" t="n">
        <v>24.8</v>
      </c>
      <c r="CB95" s="16" t="n">
        <v>91</v>
      </c>
      <c r="CC95" s="16" t="n">
        <v>114</v>
      </c>
      <c r="CD95" s="16" t="n">
        <v>73</v>
      </c>
      <c r="CE95" s="16" t="inlineStr">
        <is>
          <t>No</t>
        </is>
      </c>
      <c r="CF95" s="16" t="inlineStr">
        <is>
          <t>No</t>
        </is>
      </c>
      <c r="CG95" s="16" t="inlineStr">
        <is>
          <t>No</t>
        </is>
      </c>
      <c r="CH95" s="16" t="inlineStr">
        <is>
          <t>Sí</t>
        </is>
      </c>
      <c r="CI95" s="16" t="inlineStr">
        <is>
          <t>No</t>
        </is>
      </c>
      <c r="CJ95" s="16" t="inlineStr">
        <is>
          <t>No</t>
        </is>
      </c>
      <c r="CK95" s="16" t="inlineStr">
        <is>
          <t>No</t>
        </is>
      </c>
      <c r="CL95" s="16" t="inlineStr">
        <is>
          <t>Sí</t>
        </is>
      </c>
      <c r="CM95" s="16" t="inlineStr">
        <is>
          <t>07:27</t>
        </is>
      </c>
      <c r="CN95" s="16" t="inlineStr">
        <is>
          <t>Mate</t>
        </is>
      </c>
      <c r="CO95" s="16" t="inlineStr">
        <is>
          <t>14:30</t>
        </is>
      </c>
      <c r="CP95" s="16" t="n">
        <v>113</v>
      </c>
      <c r="CQ95" s="16" t="n">
        <v>423</v>
      </c>
      <c r="CR95" s="16" t="inlineStr">
        <is>
          <t>No</t>
        </is>
      </c>
      <c r="CV95" s="16" t="inlineStr">
        <is>
          <t>Sí</t>
        </is>
      </c>
      <c r="CW95" s="16" t="n">
        <v>3</v>
      </c>
      <c r="CX95" s="16" t="inlineStr">
        <is>
          <t>1</t>
        </is>
      </c>
      <c r="CY95" s="16" t="inlineStr">
        <is>
          <t>Bajo</t>
        </is>
      </c>
    </row>
    <row r="96">
      <c r="A96" s="16" t="inlineStr">
        <is>
          <t>demo-95</t>
        </is>
      </c>
      <c r="B96" s="16" t="inlineStr">
        <is>
          <t>A1-0095</t>
        </is>
      </c>
      <c r="C96" s="16" t="inlineStr">
        <is>
          <t>095-28-4500</t>
        </is>
      </c>
      <c r="D96" s="16" t="n">
        <v>95</v>
      </c>
      <c r="E96" s="16" t="n">
        <v>28</v>
      </c>
      <c r="F96" s="16" t="inlineStr">
        <is>
          <t>4500</t>
        </is>
      </c>
      <c r="G96" s="17" t="n">
        <v>46294</v>
      </c>
      <c r="H96" s="16" t="inlineStr">
        <is>
          <t>17:07</t>
        </is>
      </c>
      <c r="J96" s="16" t="inlineStr">
        <is>
          <t>A</t>
        </is>
      </c>
      <c r="K96" s="16" t="inlineStr">
        <is>
          <t>1</t>
        </is>
      </c>
      <c r="L96" s="16" t="inlineStr">
        <is>
          <t>Encuestador A</t>
        </is>
      </c>
      <c r="M96" s="16" t="inlineStr">
        <is>
          <t>Puesto 2</t>
        </is>
      </c>
      <c r="N96" s="16" t="inlineStr">
        <is>
          <t>Sí</t>
        </is>
      </c>
      <c r="O96" s="16" t="inlineStr">
        <is>
          <t>No</t>
        </is>
      </c>
      <c r="P96" s="16" t="n">
        <v>39</v>
      </c>
      <c r="Q96" s="16" t="inlineStr">
        <is>
          <t>Sí</t>
        </is>
      </c>
      <c r="R96" s="16" t="inlineStr">
        <is>
          <t>No</t>
        </is>
      </c>
      <c r="S96" s="16" t="inlineStr">
        <is>
          <t>No</t>
        </is>
      </c>
      <c r="T96" s="16" t="inlineStr">
        <is>
          <t>finalizado</t>
        </is>
      </c>
      <c r="U96" s="16" t="inlineStr">
        <is>
          <t>2026-10-v2</t>
        </is>
      </c>
      <c r="V96" s="16" t="inlineStr">
        <is>
          <t>2026-09-29T15:00:00.000Z</t>
        </is>
      </c>
      <c r="W96" s="16" t="inlineStr">
        <is>
          <t>Argentina</t>
        </is>
      </c>
      <c r="Y96" s="16" t="inlineStr">
        <is>
          <t>Terciario completo</t>
        </is>
      </c>
      <c r="Z96" s="16" t="inlineStr">
        <is>
          <t>No</t>
        </is>
      </c>
      <c r="AA96" s="16" t="inlineStr">
        <is>
          <t>1</t>
        </is>
      </c>
      <c r="AB96" s="16" t="inlineStr">
        <is>
          <t>Más de 5</t>
        </is>
      </c>
      <c r="AC96" s="16" t="inlineStr">
        <is>
          <t>Español; Guaraní</t>
        </is>
      </c>
      <c r="AE96" s="16" t="inlineStr">
        <is>
          <t>Español</t>
        </is>
      </c>
      <c r="AG96" s="16" t="inlineStr">
        <is>
          <t>Argentina</t>
        </is>
      </c>
      <c r="AI96" s="16" t="inlineStr">
        <is>
          <t>Muy bueno</t>
        </is>
      </c>
      <c r="AJ96" s="16" t="n">
        <v>5</v>
      </c>
      <c r="AK96" s="16" t="inlineStr">
        <is>
          <t>Viaje provincial (Jujuy)</t>
        </is>
      </c>
      <c r="AL96" s="16" t="inlineStr">
        <is>
          <t>Una vez a la semana</t>
        </is>
      </c>
      <c r="AN96" s="16" t="inlineStr">
        <is>
          <t>Diariamente</t>
        </is>
      </c>
      <c r="AP96" s="16" t="inlineStr">
        <is>
          <t>Empleado</t>
        </is>
      </c>
      <c r="AR96" s="16" t="inlineStr">
        <is>
          <t>Conforme</t>
        </is>
      </c>
      <c r="AS96" s="16" t="inlineStr">
        <is>
          <t>Sí</t>
        </is>
      </c>
      <c r="AT96" s="16" t="n">
        <v>7.4</v>
      </c>
      <c r="AU96" s="16" t="inlineStr">
        <is>
          <t>Sí</t>
        </is>
      </c>
      <c r="AV96" s="16" t="inlineStr">
        <is>
          <t>En el camión al costado de la ruta</t>
        </is>
      </c>
      <c r="AX96" s="16" t="n">
        <v>5.2</v>
      </c>
      <c r="AY96" s="16" t="inlineStr">
        <is>
          <t>Todos los días</t>
        </is>
      </c>
      <c r="AZ96" s="16" t="inlineStr">
        <is>
          <t>Mate; Agua</t>
        </is>
      </c>
      <c r="BB96" s="16" t="inlineStr">
        <is>
          <t>Sí, siempre</t>
        </is>
      </c>
      <c r="BC96" s="16" t="inlineStr">
        <is>
          <t>Algunas veces</t>
        </is>
      </c>
      <c r="BD96" s="16" t="inlineStr">
        <is>
          <t>No</t>
        </is>
      </c>
      <c r="BE96" s="16" t="inlineStr">
        <is>
          <t>Sí</t>
        </is>
      </c>
      <c r="BF96" s="16" t="inlineStr">
        <is>
          <t>Obra social; Prepaga</t>
        </is>
      </c>
      <c r="BG96" s="16" t="inlineStr">
        <is>
          <t>Ninguno</t>
        </is>
      </c>
      <c r="BH96" s="16" t="inlineStr">
        <is>
          <t>Una vez al año</t>
        </is>
      </c>
      <c r="BI96" s="16" t="inlineStr">
        <is>
          <t>Sistema privado</t>
        </is>
      </c>
      <c r="BJ96" s="16" t="inlineStr">
        <is>
          <t>Sí</t>
        </is>
      </c>
      <c r="BK96" s="16" t="inlineStr">
        <is>
          <t>Rodillas</t>
        </is>
      </c>
      <c r="BL96" s="16" t="inlineStr">
        <is>
          <t>Medicamentos</t>
        </is>
      </c>
      <c r="BM96" s="16" t="inlineStr">
        <is>
          <t>Ibuprofeno</t>
        </is>
      </c>
      <c r="BN96" s="16" t="inlineStr">
        <is>
          <t>Obesidad</t>
        </is>
      </c>
      <c r="BP96" s="16" t="inlineStr">
        <is>
          <t>Rara vez</t>
        </is>
      </c>
      <c r="BQ96" s="16" t="inlineStr">
        <is>
          <t>Café</t>
        </is>
      </c>
      <c r="BS96" s="16" t="inlineStr">
        <is>
          <t>Sí</t>
        </is>
      </c>
      <c r="BT96" s="16" t="inlineStr">
        <is>
          <t>No</t>
        </is>
      </c>
      <c r="BU96" s="16" t="inlineStr">
        <is>
          <t>Nunca</t>
        </is>
      </c>
      <c r="BV96" s="16" t="inlineStr">
        <is>
          <t>Sí</t>
        </is>
      </c>
    </row>
    <row r="97">
      <c r="A97" s="16" t="inlineStr">
        <is>
          <t>demo-96</t>
        </is>
      </c>
      <c r="B97" s="16" t="inlineStr">
        <is>
          <t>A1-0096</t>
        </is>
      </c>
      <c r="C97" s="16" t="inlineStr">
        <is>
          <t>096-37-4500</t>
        </is>
      </c>
      <c r="D97" s="16" t="n">
        <v>96</v>
      </c>
      <c r="E97" s="16" t="n">
        <v>37</v>
      </c>
      <c r="F97" s="16" t="inlineStr">
        <is>
          <t>4500</t>
        </is>
      </c>
      <c r="G97" s="17" t="n">
        <v>46294</v>
      </c>
      <c r="H97" s="16" t="inlineStr">
        <is>
          <t>11:06</t>
        </is>
      </c>
      <c r="J97" s="16" t="inlineStr">
        <is>
          <t>A</t>
        </is>
      </c>
      <c r="K97" s="16" t="inlineStr">
        <is>
          <t>1</t>
        </is>
      </c>
      <c r="L97" s="16" t="inlineStr">
        <is>
          <t>Encuestador A</t>
        </is>
      </c>
      <c r="M97" s="16" t="inlineStr">
        <is>
          <t>Puesto 1</t>
        </is>
      </c>
      <c r="N97" s="16" t="inlineStr">
        <is>
          <t>Sí</t>
        </is>
      </c>
      <c r="O97" s="16" t="inlineStr">
        <is>
          <t>No</t>
        </is>
      </c>
      <c r="P97" s="16" t="n">
        <v>39</v>
      </c>
      <c r="Q97" s="16" t="inlineStr">
        <is>
          <t>Sí</t>
        </is>
      </c>
      <c r="R97" s="16" t="inlineStr">
        <is>
          <t>Sí</t>
        </is>
      </c>
      <c r="S97" s="16" t="inlineStr">
        <is>
          <t>Sí</t>
        </is>
      </c>
      <c r="T97" s="16" t="inlineStr">
        <is>
          <t>finalizado</t>
        </is>
      </c>
      <c r="U97" s="16" t="inlineStr">
        <is>
          <t>2026-10-v2</t>
        </is>
      </c>
      <c r="V97" s="16" t="inlineStr">
        <is>
          <t>2026-09-29T15:00:00.000Z</t>
        </is>
      </c>
      <c r="W97" s="16" t="inlineStr">
        <is>
          <t>Paraguay</t>
        </is>
      </c>
      <c r="Y97" s="16" t="inlineStr">
        <is>
          <t>Terciario completo</t>
        </is>
      </c>
      <c r="Z97" s="16" t="inlineStr">
        <is>
          <t>No</t>
        </is>
      </c>
      <c r="AA97" s="16" t="inlineStr">
        <is>
          <t>Más de 5</t>
        </is>
      </c>
      <c r="AB97" s="16" t="inlineStr">
        <is>
          <t>Más de 5</t>
        </is>
      </c>
      <c r="AC97" s="16" t="inlineStr">
        <is>
          <t>Inglés; Portugués</t>
        </is>
      </c>
      <c r="AE97" s="16" t="inlineStr">
        <is>
          <t>Español</t>
        </is>
      </c>
      <c r="AG97" s="16" t="inlineStr">
        <is>
          <t>Argentina</t>
        </is>
      </c>
      <c r="AI97" s="16" t="inlineStr">
        <is>
          <t>Muy malo</t>
        </is>
      </c>
      <c r="AJ97" s="16" t="n">
        <v>13</v>
      </c>
      <c r="AK97" s="16" t="inlineStr">
        <is>
          <t>Viaje internacional</t>
        </is>
      </c>
      <c r="AL97" s="16" t="inlineStr">
        <is>
          <t>2 veces por semana</t>
        </is>
      </c>
      <c r="AN97" s="16" t="inlineStr">
        <is>
          <t>Una vez a la semana</t>
        </is>
      </c>
      <c r="AP97" s="16" t="inlineStr">
        <is>
          <t>Empleado</t>
        </is>
      </c>
      <c r="AR97" s="16" t="inlineStr">
        <is>
          <t>Conforme</t>
        </is>
      </c>
      <c r="AS97" s="16" t="inlineStr">
        <is>
          <t>Sí</t>
        </is>
      </c>
      <c r="AT97" s="16" t="n">
        <v>8.5</v>
      </c>
      <c r="AU97" s="16" t="inlineStr">
        <is>
          <t>No</t>
        </is>
      </c>
      <c r="AV97" s="16" t="inlineStr">
        <is>
          <t>Estaciones de servicio; En el camión al costado de la ruta</t>
        </is>
      </c>
      <c r="AX97" s="16" t="n">
        <v>7.1</v>
      </c>
      <c r="AY97" s="16" t="inlineStr">
        <is>
          <t>Nunca</t>
        </is>
      </c>
      <c r="AZ97" s="16" t="inlineStr">
        <is>
          <t>Jugos artificiales; Gaseosas; Mate</t>
        </is>
      </c>
      <c r="BB97" s="16" t="inlineStr">
        <is>
          <t>Sí, siempre</t>
        </is>
      </c>
      <c r="BC97" s="16" t="inlineStr">
        <is>
          <t>No</t>
        </is>
      </c>
      <c r="BD97" s="16" t="inlineStr">
        <is>
          <t>No</t>
        </is>
      </c>
      <c r="BE97" s="16" t="inlineStr">
        <is>
          <t>Sí</t>
        </is>
      </c>
      <c r="BF97" s="16" t="inlineStr">
        <is>
          <t>Obra social</t>
        </is>
      </c>
      <c r="BG97" s="16" t="inlineStr">
        <is>
          <t>Sistema privado</t>
        </is>
      </c>
      <c r="BH97" s="16" t="inlineStr">
        <is>
          <t>Nunca</t>
        </is>
      </c>
      <c r="BI97" s="16" t="inlineStr">
        <is>
          <t>Sistema público</t>
        </is>
      </c>
      <c r="BJ97" s="16" t="inlineStr">
        <is>
          <t>No</t>
        </is>
      </c>
      <c r="BL97" s="16" t="inlineStr">
        <is>
          <t>Medicamentos</t>
        </is>
      </c>
      <c r="BM97" s="16" t="inlineStr">
        <is>
          <t>Ibuprofeno</t>
        </is>
      </c>
      <c r="BN97" s="16" t="inlineStr">
        <is>
          <t>No tengo diagnóstico de enfermedad</t>
        </is>
      </c>
      <c r="BP97" s="16" t="inlineStr">
        <is>
          <t>Rara vez</t>
        </is>
      </c>
      <c r="BQ97" s="16" t="inlineStr">
        <is>
          <t>Energizantes (Speed, Monster, Red Bull, etc.)</t>
        </is>
      </c>
      <c r="BS97" s="16" t="inlineStr">
        <is>
          <t>Sí</t>
        </is>
      </c>
      <c r="BT97" s="16" t="inlineStr">
        <is>
          <t>Sí</t>
        </is>
      </c>
      <c r="BU97" s="16" t="inlineStr">
        <is>
          <t>Siempre</t>
        </is>
      </c>
      <c r="BV97" s="16" t="inlineStr">
        <is>
          <t>No</t>
        </is>
      </c>
      <c r="BW97" s="16" t="inlineStr">
        <is>
          <t>No</t>
        </is>
      </c>
      <c r="BX97" s="16" t="inlineStr">
        <is>
          <t>Varón</t>
        </is>
      </c>
      <c r="BY97" s="16" t="n">
        <v>63.8</v>
      </c>
      <c r="BZ97" s="16" t="n">
        <v>1.62</v>
      </c>
      <c r="CA97" s="16" t="n">
        <v>24.3</v>
      </c>
      <c r="CB97" s="16" t="n">
        <v>81</v>
      </c>
      <c r="CC97" s="16" t="n">
        <v>138</v>
      </c>
      <c r="CD97" s="16" t="n">
        <v>88</v>
      </c>
      <c r="CE97" s="16" t="inlineStr">
        <is>
          <t>Sí</t>
        </is>
      </c>
      <c r="CF97" s="16" t="inlineStr">
        <is>
          <t>No</t>
        </is>
      </c>
      <c r="CG97" s="16" t="inlineStr">
        <is>
          <t>No</t>
        </is>
      </c>
      <c r="CH97" s="16" t="inlineStr">
        <is>
          <t>No</t>
        </is>
      </c>
      <c r="CI97" s="16" t="inlineStr">
        <is>
          <t>No</t>
        </is>
      </c>
      <c r="CJ97" s="16" t="inlineStr">
        <is>
          <t>No</t>
        </is>
      </c>
      <c r="CK97" s="16" t="inlineStr">
        <is>
          <t>Sí</t>
        </is>
      </c>
      <c r="CL97" s="16" t="inlineStr">
        <is>
          <t>Sí</t>
        </is>
      </c>
      <c r="CM97" s="16" t="inlineStr">
        <is>
          <t>07:28</t>
        </is>
      </c>
      <c r="CN97" s="16" t="inlineStr">
        <is>
          <t>Mate</t>
        </is>
      </c>
      <c r="CO97" s="16" t="inlineStr">
        <is>
          <t>14:30</t>
        </is>
      </c>
      <c r="CP97" s="16" t="n">
        <v>141</v>
      </c>
      <c r="CQ97" s="16" t="n">
        <v>422</v>
      </c>
      <c r="CR97" s="16" t="inlineStr">
        <is>
          <t>Sí</t>
        </is>
      </c>
      <c r="CS97" s="16" t="n">
        <v>1</v>
      </c>
      <c r="CT97" s="16" t="inlineStr">
        <is>
          <t>Bajo</t>
        </is>
      </c>
      <c r="CU97" s="16" t="inlineStr">
        <is>
          <t>1 %</t>
        </is>
      </c>
      <c r="CV97" s="16" t="inlineStr">
        <is>
          <t>Sí</t>
        </is>
      </c>
      <c r="CW97" s="16" t="n">
        <v>5</v>
      </c>
      <c r="CX97" s="16" t="inlineStr">
        <is>
          <t>2</t>
        </is>
      </c>
      <c r="CY97" s="16" t="inlineStr">
        <is>
          <t>Bajo</t>
        </is>
      </c>
    </row>
    <row r="98">
      <c r="A98" s="16" t="inlineStr">
        <is>
          <t>demo-97</t>
        </is>
      </c>
      <c r="B98" s="16" t="inlineStr">
        <is>
          <t>B1-0097</t>
        </is>
      </c>
      <c r="C98" s="16" t="inlineStr">
        <is>
          <t>296-37-4400</t>
        </is>
      </c>
      <c r="D98" s="16" t="n">
        <v>296</v>
      </c>
      <c r="E98" s="16" t="n">
        <v>37</v>
      </c>
      <c r="F98" s="16" t="inlineStr">
        <is>
          <t>4400</t>
        </is>
      </c>
      <c r="G98" s="17" t="n">
        <v>46301</v>
      </c>
      <c r="H98" s="16" t="inlineStr">
        <is>
          <t>13:07</t>
        </is>
      </c>
      <c r="J98" s="16" t="inlineStr">
        <is>
          <t>B</t>
        </is>
      </c>
      <c r="K98" s="16" t="inlineStr">
        <is>
          <t>1</t>
        </is>
      </c>
      <c r="L98" s="16" t="inlineStr">
        <is>
          <t>Encuestador B</t>
        </is>
      </c>
      <c r="M98" s="16" t="inlineStr">
        <is>
          <t>Puesto 1</t>
        </is>
      </c>
      <c r="N98" s="16" t="inlineStr">
        <is>
          <t>Sí</t>
        </is>
      </c>
      <c r="O98" s="16" t="inlineStr">
        <is>
          <t>Sí</t>
        </is>
      </c>
      <c r="P98" s="16" t="n">
        <v>38</v>
      </c>
      <c r="Q98" s="16" t="inlineStr">
        <is>
          <t>Sí</t>
        </is>
      </c>
      <c r="R98" s="16" t="inlineStr">
        <is>
          <t>Sí</t>
        </is>
      </c>
      <c r="S98" s="16" t="inlineStr">
        <is>
          <t>Sí</t>
        </is>
      </c>
      <c r="T98" s="16" t="inlineStr">
        <is>
          <t>finalizado</t>
        </is>
      </c>
      <c r="U98" s="16" t="inlineStr">
        <is>
          <t>2026-10-v2</t>
        </is>
      </c>
      <c r="V98" s="16" t="inlineStr">
        <is>
          <t>2026-10-06T15:00:00.000Z</t>
        </is>
      </c>
      <c r="W98" s="16" t="inlineStr">
        <is>
          <t>Brasil</t>
        </is>
      </c>
      <c r="Y98" s="16" t="inlineStr">
        <is>
          <t>Secundaria incompleta</t>
        </is>
      </c>
      <c r="Z98" s="16" t="inlineStr">
        <is>
          <t>Sí</t>
        </is>
      </c>
      <c r="AA98" s="16" t="inlineStr">
        <is>
          <t>4</t>
        </is>
      </c>
      <c r="AB98" s="16" t="inlineStr">
        <is>
          <t>4</t>
        </is>
      </c>
      <c r="AC98" s="16" t="inlineStr">
        <is>
          <t>Portugués; Inglés</t>
        </is>
      </c>
      <c r="AE98" s="16" t="inlineStr">
        <is>
          <t>Español</t>
        </is>
      </c>
      <c r="AG98" s="16" t="inlineStr">
        <is>
          <t>Argentina</t>
        </is>
      </c>
      <c r="AI98" s="16" t="inlineStr">
        <is>
          <t>Bueno</t>
        </is>
      </c>
      <c r="AJ98" s="16" t="n">
        <v>5</v>
      </c>
      <c r="AK98" s="16" t="inlineStr">
        <is>
          <t>Viaje provincial (Jujuy)</t>
        </is>
      </c>
      <c r="AL98" s="16" t="inlineStr">
        <is>
          <t>Quincenalmente</t>
        </is>
      </c>
      <c r="AN98" s="16" t="inlineStr">
        <is>
          <t>Diariamente</t>
        </is>
      </c>
      <c r="AP98" s="16" t="inlineStr">
        <is>
          <t>Dueño del camión</t>
        </is>
      </c>
      <c r="AR98" s="16" t="inlineStr">
        <is>
          <t>Parcialmente conforme</t>
        </is>
      </c>
      <c r="AS98" s="16" t="inlineStr">
        <is>
          <t>Sí</t>
        </is>
      </c>
      <c r="AT98" s="16" t="n">
        <v>6.6</v>
      </c>
      <c r="AU98" s="16" t="inlineStr">
        <is>
          <t>Sí</t>
        </is>
      </c>
      <c r="AV98" s="16" t="inlineStr">
        <is>
          <t>En el camión al costado de la ruta</t>
        </is>
      </c>
      <c r="AX98" s="16" t="n">
        <v>7.4</v>
      </c>
      <c r="AY98" s="16" t="inlineStr">
        <is>
          <t>Nunca</t>
        </is>
      </c>
      <c r="AZ98" s="16" t="inlineStr">
        <is>
          <t>Gaseosas</t>
        </is>
      </c>
      <c r="BB98" s="16" t="inlineStr">
        <is>
          <t>Casi nunca</t>
        </is>
      </c>
      <c r="BC98" s="16" t="inlineStr">
        <is>
          <t>Algunas veces</t>
        </is>
      </c>
      <c r="BD98" s="16" t="inlineStr">
        <is>
          <t>No</t>
        </is>
      </c>
      <c r="BE98" s="16" t="inlineStr">
        <is>
          <t>Parcialmente</t>
        </is>
      </c>
      <c r="BF98" s="16" t="inlineStr">
        <is>
          <t>Obra social</t>
        </is>
      </c>
      <c r="BG98" s="16" t="inlineStr">
        <is>
          <t>Sistema público</t>
        </is>
      </c>
      <c r="BH98" s="16" t="inlineStr">
        <is>
          <t>2 veces al año</t>
        </is>
      </c>
      <c r="BI98" s="16" t="inlineStr">
        <is>
          <t>Sistema público; Otros (medicina tradicional, alternativa, etc.)</t>
        </is>
      </c>
      <c r="BJ98" s="16" t="inlineStr">
        <is>
          <t>Sí</t>
        </is>
      </c>
      <c r="BK98" s="16" t="inlineStr">
        <is>
          <t>Rodillas</t>
        </is>
      </c>
      <c r="BL98" s="16" t="inlineStr">
        <is>
          <t>Ninguno</t>
        </is>
      </c>
      <c r="BN98" s="16" t="inlineStr">
        <is>
          <t>Musculoesqueléticos; Digestivas</t>
        </is>
      </c>
      <c r="BP98" s="16" t="inlineStr">
        <is>
          <t>Una vez a la semana</t>
        </is>
      </c>
      <c r="BQ98" s="16" t="inlineStr">
        <is>
          <t>No</t>
        </is>
      </c>
      <c r="BS98" s="16" t="inlineStr">
        <is>
          <t>Sí</t>
        </is>
      </c>
      <c r="BT98" s="16" t="inlineStr">
        <is>
          <t>No</t>
        </is>
      </c>
      <c r="BU98" s="16" t="inlineStr">
        <is>
          <t>A veces</t>
        </is>
      </c>
      <c r="BV98" s="16" t="inlineStr">
        <is>
          <t>Sí</t>
        </is>
      </c>
      <c r="BW98" s="16" t="inlineStr">
        <is>
          <t>No</t>
        </is>
      </c>
      <c r="BX98" s="16" t="inlineStr">
        <is>
          <t>Varón</t>
        </is>
      </c>
      <c r="BY98" s="16" t="n">
        <v>90.90000000000001</v>
      </c>
      <c r="BZ98" s="16" t="n">
        <v>1.63</v>
      </c>
      <c r="CA98" s="16" t="n">
        <v>34.2</v>
      </c>
      <c r="CB98" s="16" t="n">
        <v>80</v>
      </c>
      <c r="CC98" s="16" t="n">
        <v>121</v>
      </c>
      <c r="CD98" s="16" t="n">
        <v>77</v>
      </c>
      <c r="CE98" s="16" t="inlineStr">
        <is>
          <t>No</t>
        </is>
      </c>
      <c r="CF98" s="16" t="inlineStr">
        <is>
          <t>No</t>
        </is>
      </c>
      <c r="CG98" s="16" t="inlineStr">
        <is>
          <t>No</t>
        </is>
      </c>
      <c r="CH98" s="16" t="inlineStr">
        <is>
          <t>Sí</t>
        </is>
      </c>
      <c r="CI98" s="16" t="inlineStr">
        <is>
          <t>No</t>
        </is>
      </c>
      <c r="CJ98" s="16" t="inlineStr">
        <is>
          <t>No</t>
        </is>
      </c>
      <c r="CK98" s="16" t="inlineStr">
        <is>
          <t>Sí</t>
        </is>
      </c>
      <c r="CL98" s="16" t="inlineStr">
        <is>
          <t>Sí</t>
        </is>
      </c>
      <c r="CM98" s="16" t="inlineStr">
        <is>
          <t>07:32</t>
        </is>
      </c>
      <c r="CN98" s="16" t="inlineStr">
        <is>
          <t>Mate</t>
        </is>
      </c>
      <c r="CO98" s="16" t="inlineStr">
        <is>
          <t>13:30</t>
        </is>
      </c>
      <c r="CP98" s="16" t="n">
        <v>129</v>
      </c>
      <c r="CQ98" s="16" t="n">
        <v>358</v>
      </c>
      <c r="CR98" s="16" t="inlineStr">
        <is>
          <t>Sí</t>
        </is>
      </c>
      <c r="CS98" s="16" t="n">
        <v>8</v>
      </c>
      <c r="CT98" s="16" t="inlineStr">
        <is>
          <t>Ligeramente elevado</t>
        </is>
      </c>
      <c r="CU98" s="16" t="inlineStr">
        <is>
          <t>4 %</t>
        </is>
      </c>
      <c r="CV98" s="16" t="inlineStr">
        <is>
          <t>Sí</t>
        </is>
      </c>
      <c r="CW98" s="16" t="n">
        <v>8</v>
      </c>
      <c r="CX98" s="16" t="inlineStr">
        <is>
          <t>4</t>
        </is>
      </c>
      <c r="CY98" s="16" t="inlineStr">
        <is>
          <t>Bajo</t>
        </is>
      </c>
    </row>
    <row r="99">
      <c r="A99" s="16" t="inlineStr">
        <is>
          <t>demo-98</t>
        </is>
      </c>
      <c r="B99" s="16" t="inlineStr">
        <is>
          <t>B1-0098</t>
        </is>
      </c>
      <c r="C99" s="16" t="inlineStr">
        <is>
          <t>297-55-4500</t>
        </is>
      </c>
      <c r="D99" s="16" t="n">
        <v>297</v>
      </c>
      <c r="E99" s="16" t="n">
        <v>55</v>
      </c>
      <c r="F99" s="16" t="inlineStr">
        <is>
          <t>4500</t>
        </is>
      </c>
      <c r="G99" s="17" t="n">
        <v>46290</v>
      </c>
      <c r="H99" s="16" t="inlineStr">
        <is>
          <t>10:08</t>
        </is>
      </c>
      <c r="J99" s="16" t="inlineStr">
        <is>
          <t>B</t>
        </is>
      </c>
      <c r="K99" s="16" t="inlineStr">
        <is>
          <t>1</t>
        </is>
      </c>
      <c r="L99" s="16" t="inlineStr">
        <is>
          <t>Encuestador B</t>
        </is>
      </c>
      <c r="M99" s="16" t="inlineStr">
        <is>
          <t>Puesto 2</t>
        </is>
      </c>
      <c r="N99" s="16" t="inlineStr">
        <is>
          <t>Sí</t>
        </is>
      </c>
      <c r="O99" s="16" t="inlineStr">
        <is>
          <t>No</t>
        </is>
      </c>
      <c r="P99" s="16" t="n">
        <v>39</v>
      </c>
      <c r="Q99" s="16" t="inlineStr">
        <is>
          <t>Sí</t>
        </is>
      </c>
      <c r="R99" s="16" t="inlineStr">
        <is>
          <t>Sí</t>
        </is>
      </c>
      <c r="S99" s="16" t="inlineStr">
        <is>
          <t>Sí</t>
        </is>
      </c>
      <c r="T99" s="16" t="inlineStr">
        <is>
          <t>finalizado</t>
        </is>
      </c>
      <c r="U99" s="16" t="inlineStr">
        <is>
          <t>2026-10-v2</t>
        </is>
      </c>
      <c r="V99" s="16" t="inlineStr">
        <is>
          <t>2026-09-25T15:00:00.000Z</t>
        </is>
      </c>
      <c r="W99" s="16" t="inlineStr">
        <is>
          <t>Chile</t>
        </is>
      </c>
      <c r="Y99" s="16" t="inlineStr">
        <is>
          <t>Universitario completo</t>
        </is>
      </c>
      <c r="Z99" s="16" t="inlineStr">
        <is>
          <t>Sí</t>
        </is>
      </c>
      <c r="AA99" s="16" t="inlineStr">
        <is>
          <t>4</t>
        </is>
      </c>
      <c r="AB99" s="16" t="inlineStr">
        <is>
          <t>3</t>
        </is>
      </c>
      <c r="AC99" s="16" t="inlineStr">
        <is>
          <t>Portugués</t>
        </is>
      </c>
      <c r="AE99" s="16" t="inlineStr">
        <is>
          <t>Español</t>
        </is>
      </c>
      <c r="AG99" s="16" t="inlineStr">
        <is>
          <t>Argentina</t>
        </is>
      </c>
      <c r="AI99" s="16" t="inlineStr">
        <is>
          <t>Bueno</t>
        </is>
      </c>
      <c r="AJ99" s="16" t="n">
        <v>13</v>
      </c>
      <c r="AK99" s="16" t="inlineStr">
        <is>
          <t>Viaje interprovincial</t>
        </is>
      </c>
      <c r="AL99" s="16" t="inlineStr">
        <is>
          <t>2 veces por semana</t>
        </is>
      </c>
      <c r="AN99" s="16" t="inlineStr">
        <is>
          <t>2 veces por semana</t>
        </is>
      </c>
      <c r="AP99" s="16" t="inlineStr">
        <is>
          <t>Empleado</t>
        </is>
      </c>
      <c r="AR99" s="16" t="inlineStr">
        <is>
          <t>Disconforme</t>
        </is>
      </c>
      <c r="AS99" s="16" t="inlineStr">
        <is>
          <t>No</t>
        </is>
      </c>
      <c r="AT99" s="16" t="n">
        <v>6.1</v>
      </c>
      <c r="AU99" s="16" t="inlineStr">
        <is>
          <t>Sí</t>
        </is>
      </c>
      <c r="AV99" s="16" t="inlineStr">
        <is>
          <t>Paradores</t>
        </is>
      </c>
      <c r="AX99" s="16" t="n">
        <v>7.5</v>
      </c>
      <c r="AY99" s="16" t="inlineStr">
        <is>
          <t>Casi nunca</t>
        </is>
      </c>
      <c r="AZ99" s="16" t="inlineStr">
        <is>
          <t>Agua; Mate</t>
        </is>
      </c>
      <c r="BB99" s="16" t="inlineStr">
        <is>
          <t>Nunca</t>
        </is>
      </c>
      <c r="BC99" s="16" t="inlineStr">
        <is>
          <t>Algunas veces</t>
        </is>
      </c>
      <c r="BD99" s="16" t="inlineStr">
        <is>
          <t>No</t>
        </is>
      </c>
      <c r="BE99" s="16" t="inlineStr">
        <is>
          <t>Sí</t>
        </is>
      </c>
      <c r="BF99" s="16" t="inlineStr">
        <is>
          <t>Obra social</t>
        </is>
      </c>
      <c r="BG99" s="16" t="inlineStr">
        <is>
          <t>Sistema privado</t>
        </is>
      </c>
      <c r="BH99" s="16" t="inlineStr">
        <is>
          <t>2 veces al año</t>
        </is>
      </c>
      <c r="BI99" s="16" t="inlineStr">
        <is>
          <t>Sistema público</t>
        </is>
      </c>
      <c r="BJ99" s="16" t="inlineStr">
        <is>
          <t>No</t>
        </is>
      </c>
      <c r="BL99" s="16" t="inlineStr">
        <is>
          <t>Medicamentos; Hierbas</t>
        </is>
      </c>
      <c r="BM99" s="16" t="inlineStr">
        <is>
          <t>Ibuprofeno</t>
        </is>
      </c>
      <c r="BN99" s="16" t="inlineStr">
        <is>
          <t>Musculoesqueléticos</t>
        </is>
      </c>
      <c r="BP99" s="16" t="inlineStr">
        <is>
          <t>2 a 3 veces por semana</t>
        </is>
      </c>
      <c r="BQ99" s="16" t="inlineStr">
        <is>
          <t>No</t>
        </is>
      </c>
      <c r="BS99" s="16" t="inlineStr">
        <is>
          <t>No</t>
        </is>
      </c>
      <c r="BT99" s="16" t="inlineStr">
        <is>
          <t>Sí</t>
        </is>
      </c>
      <c r="BU99" s="16" t="inlineStr">
        <is>
          <t>Nunca</t>
        </is>
      </c>
      <c r="BV99" s="16" t="inlineStr">
        <is>
          <t>Sí</t>
        </is>
      </c>
      <c r="BW99" s="16" t="inlineStr">
        <is>
          <t>No</t>
        </is>
      </c>
      <c r="BX99" s="16" t="inlineStr">
        <is>
          <t>Varón</t>
        </is>
      </c>
      <c r="BY99" s="16" t="n">
        <v>86.7</v>
      </c>
      <c r="BZ99" s="16" t="n">
        <v>1.87</v>
      </c>
      <c r="CA99" s="16" t="n">
        <v>24.8</v>
      </c>
      <c r="CB99" s="16" t="n">
        <v>82</v>
      </c>
      <c r="CC99" s="16" t="n">
        <v>167</v>
      </c>
      <c r="CD99" s="16" t="n">
        <v>106</v>
      </c>
      <c r="CE99" s="16" t="inlineStr">
        <is>
          <t>Sí</t>
        </is>
      </c>
      <c r="CF99" s="16" t="inlineStr">
        <is>
          <t>No</t>
        </is>
      </c>
      <c r="CG99" s="16" t="inlineStr">
        <is>
          <t>No</t>
        </is>
      </c>
      <c r="CH99" s="16" t="inlineStr">
        <is>
          <t>No</t>
        </is>
      </c>
      <c r="CI99" s="16" t="inlineStr">
        <is>
          <t>Sí</t>
        </is>
      </c>
      <c r="CJ99" s="16" t="inlineStr">
        <is>
          <t>No</t>
        </is>
      </c>
      <c r="CK99" s="16" t="inlineStr">
        <is>
          <t>No</t>
        </is>
      </c>
      <c r="CL99" s="16" t="inlineStr">
        <is>
          <t>Sí</t>
        </is>
      </c>
      <c r="CM99" s="16" t="inlineStr">
        <is>
          <t>07:11</t>
        </is>
      </c>
      <c r="CN99" s="16" t="inlineStr">
        <is>
          <t>Mate</t>
        </is>
      </c>
      <c r="CO99" s="16" t="inlineStr">
        <is>
          <t>10:30</t>
        </is>
      </c>
      <c r="CP99" s="16" t="n">
        <v>79</v>
      </c>
      <c r="CQ99" s="16" t="n">
        <v>199</v>
      </c>
      <c r="CR99" s="16" t="inlineStr">
        <is>
          <t>Sí</t>
        </is>
      </c>
      <c r="CS99" s="16" t="n">
        <v>9</v>
      </c>
      <c r="CT99" s="16" t="inlineStr">
        <is>
          <t>Ligeramente elevado</t>
        </is>
      </c>
      <c r="CU99" s="16" t="inlineStr">
        <is>
          <t>4 %</t>
        </is>
      </c>
      <c r="CV99" s="16" t="inlineStr">
        <is>
          <t>Sí</t>
        </is>
      </c>
      <c r="CW99" s="16" t="n">
        <v>10</v>
      </c>
      <c r="CX99" s="16" t="inlineStr">
        <is>
          <t>6</t>
        </is>
      </c>
      <c r="CY99" s="16" t="inlineStr">
        <is>
          <t>Bajo</t>
        </is>
      </c>
    </row>
    <row r="100">
      <c r="A100" s="16" t="inlineStr">
        <is>
          <t>demo-99</t>
        </is>
      </c>
      <c r="B100" s="16" t="inlineStr">
        <is>
          <t>A1-0099</t>
        </is>
      </c>
      <c r="C100" s="16" t="inlineStr">
        <is>
          <t>099-24-4612</t>
        </is>
      </c>
      <c r="D100" s="16" t="n">
        <v>99</v>
      </c>
      <c r="E100" s="16" t="n">
        <v>24</v>
      </c>
      <c r="F100" s="16" t="inlineStr">
        <is>
          <t>4612</t>
        </is>
      </c>
      <c r="G100" s="17" t="n">
        <v>46289</v>
      </c>
      <c r="H100" s="16" t="inlineStr">
        <is>
          <t>11:01</t>
        </is>
      </c>
      <c r="J100" s="16" t="inlineStr">
        <is>
          <t>A</t>
        </is>
      </c>
      <c r="K100" s="16" t="inlineStr">
        <is>
          <t>1</t>
        </is>
      </c>
      <c r="L100" s="16" t="inlineStr">
        <is>
          <t>Encuestador A</t>
        </is>
      </c>
      <c r="M100" s="16" t="inlineStr">
        <is>
          <t>Puesto 2</t>
        </is>
      </c>
      <c r="N100" s="16" t="inlineStr">
        <is>
          <t>Sí</t>
        </is>
      </c>
      <c r="O100" s="16" t="inlineStr">
        <is>
          <t>Sí</t>
        </is>
      </c>
      <c r="P100" s="16" t="n">
        <v>39</v>
      </c>
      <c r="Q100" s="16" t="inlineStr">
        <is>
          <t>Sí</t>
        </is>
      </c>
      <c r="R100" s="16" t="inlineStr">
        <is>
          <t>Sí</t>
        </is>
      </c>
      <c r="S100" s="16" t="inlineStr">
        <is>
          <t>Sí</t>
        </is>
      </c>
      <c r="T100" s="16" t="inlineStr">
        <is>
          <t>finalizado</t>
        </is>
      </c>
      <c r="U100" s="16" t="inlineStr">
        <is>
          <t>2026-10-v2</t>
        </is>
      </c>
      <c r="V100" s="16" t="inlineStr">
        <is>
          <t>2026-09-24T15:00:00.000Z</t>
        </is>
      </c>
      <c r="W100" s="16" t="inlineStr">
        <is>
          <t>Paraguay</t>
        </is>
      </c>
      <c r="Y100" s="16" t="inlineStr">
        <is>
          <t>Primaria completa</t>
        </is>
      </c>
      <c r="Z100" s="16" t="inlineStr">
        <is>
          <t>Sí</t>
        </is>
      </c>
      <c r="AA100" s="16" t="inlineStr">
        <is>
          <t>3</t>
        </is>
      </c>
      <c r="AB100" s="16" t="inlineStr">
        <is>
          <t>1</t>
        </is>
      </c>
      <c r="AC100" s="16" t="inlineStr">
        <is>
          <t>Español</t>
        </is>
      </c>
      <c r="AE100" s="16" t="inlineStr">
        <is>
          <t>Español</t>
        </is>
      </c>
      <c r="AG100" s="16" t="inlineStr">
        <is>
          <t>Argentina</t>
        </is>
      </c>
      <c r="AI100" s="16" t="inlineStr">
        <is>
          <t>Regular</t>
        </is>
      </c>
      <c r="AJ100" s="16" t="n">
        <v>1</v>
      </c>
      <c r="AK100" s="16" t="inlineStr">
        <is>
          <t>Viaje interprovincial</t>
        </is>
      </c>
      <c r="AL100" s="16" t="inlineStr">
        <is>
          <t>2 veces por semana</t>
        </is>
      </c>
      <c r="AN100" s="16" t="inlineStr">
        <is>
          <t>Una vez a la semana</t>
        </is>
      </c>
      <c r="AP100" s="16" t="inlineStr">
        <is>
          <t>Empleado</t>
        </is>
      </c>
      <c r="AR100" s="16" t="inlineStr">
        <is>
          <t>Parcialmente conforme</t>
        </is>
      </c>
      <c r="AS100" s="16" t="inlineStr">
        <is>
          <t>Sí</t>
        </is>
      </c>
      <c r="AT100" s="16" t="n">
        <v>8.199999999999999</v>
      </c>
      <c r="AU100" s="16" t="inlineStr">
        <is>
          <t>Sí</t>
        </is>
      </c>
      <c r="AV100" s="16" t="inlineStr">
        <is>
          <t>En el camión al costado de la ruta; Paradores</t>
        </is>
      </c>
      <c r="AX100" s="16" t="n">
        <v>4.9</v>
      </c>
      <c r="AY100" s="16" t="inlineStr">
        <is>
          <t>Todos los días</t>
        </is>
      </c>
      <c r="AZ100" s="16" t="inlineStr">
        <is>
          <t>Gaseosas; Mate; Café</t>
        </is>
      </c>
      <c r="BB100" s="16" t="inlineStr">
        <is>
          <t>Casi nunca</t>
        </is>
      </c>
      <c r="BC100" s="16" t="inlineStr">
        <is>
          <t>No</t>
        </is>
      </c>
      <c r="BD100" s="16" t="inlineStr">
        <is>
          <t>No</t>
        </is>
      </c>
      <c r="BE100" s="16" t="inlineStr">
        <is>
          <t>No</t>
        </is>
      </c>
      <c r="BF100" s="16" t="inlineStr">
        <is>
          <t>Ninguna</t>
        </is>
      </c>
      <c r="BG100" s="16" t="inlineStr">
        <is>
          <t>Sistema privado</t>
        </is>
      </c>
      <c r="BH100" s="16" t="inlineStr">
        <is>
          <t>Una vez al año</t>
        </is>
      </c>
      <c r="BI100" s="16" t="inlineStr">
        <is>
          <t>Sistema privado</t>
        </is>
      </c>
      <c r="BJ100" s="16" t="inlineStr">
        <is>
          <t>Sí</t>
        </is>
      </c>
      <c r="BK100" s="16" t="inlineStr">
        <is>
          <t>Rodillas</t>
        </is>
      </c>
      <c r="BL100" s="16" t="inlineStr">
        <is>
          <t>Medicamentos</t>
        </is>
      </c>
      <c r="BM100" s="16" t="inlineStr">
        <is>
          <t>Ibuprofeno</t>
        </is>
      </c>
      <c r="BN100" s="16" t="inlineStr">
        <is>
          <t>Musculoesqueléticos</t>
        </is>
      </c>
      <c r="BP100" s="16" t="inlineStr">
        <is>
          <t>Rara vez</t>
        </is>
      </c>
      <c r="BQ100" s="16" t="inlineStr">
        <is>
          <t>Café; Coca-Cola</t>
        </is>
      </c>
      <c r="BS100" s="16" t="inlineStr">
        <is>
          <t>Sí</t>
        </is>
      </c>
      <c r="BT100" s="16" t="inlineStr">
        <is>
          <t>No</t>
        </is>
      </c>
      <c r="BU100" s="16" t="inlineStr">
        <is>
          <t>A veces</t>
        </is>
      </c>
      <c r="BV100" s="16" t="inlineStr">
        <is>
          <t>No</t>
        </is>
      </c>
      <c r="BW100" s="16" t="inlineStr">
        <is>
          <t>No</t>
        </is>
      </c>
      <c r="BX100" s="16" t="inlineStr">
        <is>
          <t>Varón</t>
        </is>
      </c>
      <c r="BY100" s="16" t="n">
        <v>119.7</v>
      </c>
      <c r="BZ100" s="16" t="n">
        <v>1.86</v>
      </c>
      <c r="CA100" s="16" t="n">
        <v>34.6</v>
      </c>
      <c r="CB100" s="16" t="n">
        <v>106</v>
      </c>
      <c r="CC100" s="16" t="n">
        <v>126</v>
      </c>
      <c r="CD100" s="16" t="n">
        <v>80</v>
      </c>
      <c r="CE100" s="16" t="inlineStr">
        <is>
          <t>No</t>
        </is>
      </c>
      <c r="CF100" s="16" t="inlineStr">
        <is>
          <t>No</t>
        </is>
      </c>
      <c r="CG100" s="16" t="inlineStr">
        <is>
          <t>No</t>
        </is>
      </c>
      <c r="CH100" s="16" t="inlineStr">
        <is>
          <t>No</t>
        </is>
      </c>
      <c r="CI100" s="16" t="inlineStr">
        <is>
          <t>No</t>
        </is>
      </c>
      <c r="CJ100" s="16" t="inlineStr">
        <is>
          <t>Sí, primer grado</t>
        </is>
      </c>
      <c r="CK100" s="16" t="inlineStr">
        <is>
          <t>No</t>
        </is>
      </c>
      <c r="CL100" s="16" t="inlineStr">
        <is>
          <t>Sí</t>
        </is>
      </c>
      <c r="CM100" s="16" t="inlineStr">
        <is>
          <t>07:25</t>
        </is>
      </c>
      <c r="CN100" s="16" t="inlineStr">
        <is>
          <t>Mate</t>
        </is>
      </c>
      <c r="CO100" s="16" t="inlineStr">
        <is>
          <t>14:30</t>
        </is>
      </c>
      <c r="CP100" s="16" t="n">
        <v>100</v>
      </c>
      <c r="CQ100" s="16" t="n">
        <v>425</v>
      </c>
      <c r="CR100" s="16" t="inlineStr">
        <is>
          <t>Sí</t>
        </is>
      </c>
      <c r="CS100" s="16" t="n">
        <v>15</v>
      </c>
      <c r="CT100" s="16" t="inlineStr">
        <is>
          <t>Alto</t>
        </is>
      </c>
      <c r="CU100" s="16" t="inlineStr">
        <is>
          <t>33 %</t>
        </is>
      </c>
      <c r="CV100" s="16" t="inlineStr">
        <is>
          <t>Sí</t>
        </is>
      </c>
      <c r="CW100" s="16" t="n">
        <v>-6</v>
      </c>
      <c r="CX100" s="16" t="inlineStr">
        <is>
          <t>&lt;1</t>
        </is>
      </c>
      <c r="CY100" s="16" t="inlineStr">
        <is>
          <t>Bajo</t>
        </is>
      </c>
    </row>
    <row r="101">
      <c r="A101" s="16" t="inlineStr">
        <is>
          <t>demo-100</t>
        </is>
      </c>
      <c r="B101" s="16" t="inlineStr">
        <is>
          <t>B1-0100</t>
        </is>
      </c>
      <c r="C101" s="16" t="inlineStr">
        <is>
          <t>299-29-4630</t>
        </is>
      </c>
      <c r="D101" s="16" t="n">
        <v>299</v>
      </c>
      <c r="E101" s="16" t="n">
        <v>29</v>
      </c>
      <c r="F101" s="16" t="inlineStr">
        <is>
          <t>4630</t>
        </is>
      </c>
      <c r="G101" s="17" t="n">
        <v>46294</v>
      </c>
      <c r="H101" s="16" t="inlineStr">
        <is>
          <t>16:04</t>
        </is>
      </c>
      <c r="J101" s="16" t="inlineStr">
        <is>
          <t>B</t>
        </is>
      </c>
      <c r="K101" s="16" t="inlineStr">
        <is>
          <t>1</t>
        </is>
      </c>
      <c r="L101" s="16" t="inlineStr">
        <is>
          <t>Encuestador B</t>
        </is>
      </c>
      <c r="M101" s="16" t="inlineStr">
        <is>
          <t>Puesto 1</t>
        </is>
      </c>
      <c r="N101" s="16" t="inlineStr">
        <is>
          <t>Sí</t>
        </is>
      </c>
      <c r="O101" s="16" t="inlineStr">
        <is>
          <t>Sí</t>
        </is>
      </c>
      <c r="P101" s="16" t="n">
        <v>38</v>
      </c>
      <c r="Q101" s="16" t="inlineStr">
        <is>
          <t>Sí</t>
        </is>
      </c>
      <c r="R101" s="16" t="inlineStr">
        <is>
          <t>Sí</t>
        </is>
      </c>
      <c r="S101" s="16" t="inlineStr">
        <is>
          <t>Sí</t>
        </is>
      </c>
      <c r="T101" s="16" t="inlineStr">
        <is>
          <t>finalizado</t>
        </is>
      </c>
      <c r="U101" s="16" t="inlineStr">
        <is>
          <t>2026-10-v2</t>
        </is>
      </c>
      <c r="V101" s="16" t="inlineStr">
        <is>
          <t>2026-09-29T15:00:00.000Z</t>
        </is>
      </c>
      <c r="W101" s="16" t="inlineStr">
        <is>
          <t>Argentina</t>
        </is>
      </c>
      <c r="Y101" s="16" t="inlineStr">
        <is>
          <t>Secundaria completa</t>
        </is>
      </c>
      <c r="Z101" s="16" t="inlineStr">
        <is>
          <t>Sí</t>
        </is>
      </c>
      <c r="AA101" s="16" t="inlineStr">
        <is>
          <t>5</t>
        </is>
      </c>
      <c r="AB101" s="16" t="inlineStr">
        <is>
          <t>4</t>
        </is>
      </c>
      <c r="AC101" s="16" t="inlineStr">
        <is>
          <t>Español</t>
        </is>
      </c>
      <c r="AE101" s="16" t="inlineStr">
        <is>
          <t>Español</t>
        </is>
      </c>
      <c r="AG101" s="16" t="inlineStr">
        <is>
          <t>Argentina</t>
        </is>
      </c>
      <c r="AI101" s="16" t="inlineStr">
        <is>
          <t>Malo</t>
        </is>
      </c>
      <c r="AJ101" s="16" t="n">
        <v>3</v>
      </c>
      <c r="AK101" s="16" t="inlineStr">
        <is>
          <t>Viaje internacional</t>
        </is>
      </c>
      <c r="AL101" s="16" t="inlineStr">
        <is>
          <t>Una vez al mes</t>
        </is>
      </c>
      <c r="AN101" s="16" t="inlineStr">
        <is>
          <t>Una vez a la semana</t>
        </is>
      </c>
      <c r="AP101" s="16" t="inlineStr">
        <is>
          <t>Empleado</t>
        </is>
      </c>
      <c r="AR101" s="16" t="inlineStr">
        <is>
          <t>Conforme</t>
        </is>
      </c>
      <c r="AS101" s="16" t="inlineStr">
        <is>
          <t>Duda</t>
        </is>
      </c>
      <c r="AT101" s="16" t="n">
        <v>6.5</v>
      </c>
      <c r="AU101" s="16" t="inlineStr">
        <is>
          <t>Sí</t>
        </is>
      </c>
      <c r="AV101" s="16" t="inlineStr">
        <is>
          <t>En el camión al costado de la ruta; Estaciones de servicio</t>
        </is>
      </c>
      <c r="AX101" s="16" t="n">
        <v>7.9</v>
      </c>
      <c r="AY101" s="16" t="inlineStr">
        <is>
          <t>Todos los días</t>
        </is>
      </c>
      <c r="AZ101" s="16" t="inlineStr">
        <is>
          <t>Gaseosas; Mate</t>
        </is>
      </c>
      <c r="BB101" s="16" t="inlineStr">
        <is>
          <t>Nunca</t>
        </is>
      </c>
      <c r="BC101" s="16" t="inlineStr">
        <is>
          <t>Rara vez</t>
        </is>
      </c>
      <c r="BD101" s="16" t="inlineStr">
        <is>
          <t>No</t>
        </is>
      </c>
      <c r="BE101" s="16" t="inlineStr">
        <is>
          <t>Parcialmente</t>
        </is>
      </c>
      <c r="BF101" s="16" t="inlineStr">
        <is>
          <t>Obra social</t>
        </is>
      </c>
      <c r="BG101" s="16" t="inlineStr">
        <is>
          <t>Sistema público</t>
        </is>
      </c>
      <c r="BH101" s="16" t="inlineStr">
        <is>
          <t>Nunca</t>
        </is>
      </c>
      <c r="BI101" s="16" t="inlineStr">
        <is>
          <t>Sistema privado</t>
        </is>
      </c>
      <c r="BJ101" s="16" t="inlineStr">
        <is>
          <t>No</t>
        </is>
      </c>
      <c r="BL101" s="16" t="inlineStr">
        <is>
          <t>Ninguno</t>
        </is>
      </c>
      <c r="BN101" s="16" t="inlineStr">
        <is>
          <t>Obesidad</t>
        </is>
      </c>
      <c r="BP101" s="16" t="inlineStr">
        <is>
          <t>Rara vez</t>
        </is>
      </c>
      <c r="BQ101" s="16" t="inlineStr">
        <is>
          <t>No</t>
        </is>
      </c>
      <c r="BS101" s="16" t="inlineStr">
        <is>
          <t>Sí</t>
        </is>
      </c>
      <c r="BT101" s="16" t="inlineStr">
        <is>
          <t>Sí</t>
        </is>
      </c>
      <c r="BU101" s="16" t="inlineStr">
        <is>
          <t>Siempre</t>
        </is>
      </c>
      <c r="BV101" s="16" t="inlineStr">
        <is>
          <t>No</t>
        </is>
      </c>
      <c r="BW101" s="16" t="inlineStr">
        <is>
          <t>No</t>
        </is>
      </c>
      <c r="BX101" s="16" t="inlineStr">
        <is>
          <t>Varón</t>
        </is>
      </c>
      <c r="BY101" s="16" t="n">
        <v>66.40000000000001</v>
      </c>
      <c r="BZ101" s="16" t="n">
        <v>1.66</v>
      </c>
      <c r="CA101" s="16" t="n">
        <v>24.1</v>
      </c>
      <c r="CB101" s="16" t="n">
        <v>78</v>
      </c>
      <c r="CC101" s="16" t="n">
        <v>154</v>
      </c>
      <c r="CD101" s="16" t="n">
        <v>97</v>
      </c>
      <c r="CE101" s="16" t="inlineStr">
        <is>
          <t>No</t>
        </is>
      </c>
      <c r="CF101" s="16" t="inlineStr">
        <is>
          <t>Sí</t>
        </is>
      </c>
      <c r="CG101" s="16" t="inlineStr">
        <is>
          <t>Sí</t>
        </is>
      </c>
      <c r="CH101" s="16" t="inlineStr">
        <is>
          <t>No</t>
        </is>
      </c>
      <c r="CI101" s="16" t="inlineStr">
        <is>
          <t>No</t>
        </is>
      </c>
      <c r="CJ101" s="16" t="inlineStr">
        <is>
          <t>No</t>
        </is>
      </c>
      <c r="CK101" s="16" t="inlineStr">
        <is>
          <t>No</t>
        </is>
      </c>
      <c r="CL101" s="16" t="inlineStr">
        <is>
          <t>Sí</t>
        </is>
      </c>
      <c r="CM101" s="16" t="inlineStr">
        <is>
          <t>07:34</t>
        </is>
      </c>
      <c r="CN101" s="16" t="inlineStr">
        <is>
          <t>Mate</t>
        </is>
      </c>
      <c r="CO101" s="16" t="inlineStr">
        <is>
          <t>12:30</t>
        </is>
      </c>
      <c r="CP101" s="16" t="n">
        <v>181</v>
      </c>
      <c r="CQ101" s="16" t="n">
        <v>296</v>
      </c>
      <c r="CR101" s="16" t="inlineStr">
        <is>
          <t>Sí</t>
        </is>
      </c>
      <c r="CS101" s="16" t="n">
        <v>2</v>
      </c>
      <c r="CT101" s="16" t="inlineStr">
        <is>
          <t>Bajo</t>
        </is>
      </c>
      <c r="CU101" s="16" t="inlineStr">
        <is>
          <t>1 %</t>
        </is>
      </c>
      <c r="CV101" s="16" t="inlineStr">
        <is>
          <t>Sí</t>
        </is>
      </c>
      <c r="CW101" s="16" t="n">
        <v>-8</v>
      </c>
      <c r="CX101" s="16" t="inlineStr">
        <is>
          <t>&lt;1</t>
        </is>
      </c>
      <c r="CY101" s="16" t="inlineStr">
        <is>
          <t>Bajo</t>
        </is>
      </c>
    </row>
    <row r="102">
      <c r="A102" s="16" t="inlineStr">
        <is>
          <t>demo-101</t>
        </is>
      </c>
      <c r="B102" s="16" t="inlineStr">
        <is>
          <t>A1-0101</t>
        </is>
      </c>
      <c r="C102" s="16" t="inlineStr">
        <is>
          <t>101-26-4612</t>
        </is>
      </c>
      <c r="D102" s="16" t="n">
        <v>101</v>
      </c>
      <c r="E102" s="16" t="n">
        <v>26</v>
      </c>
      <c r="F102" s="16" t="inlineStr">
        <is>
          <t>4612</t>
        </is>
      </c>
      <c r="G102" s="17" t="n">
        <v>46294</v>
      </c>
      <c r="H102" s="16" t="inlineStr">
        <is>
          <t>11:04</t>
        </is>
      </c>
      <c r="J102" s="16" t="inlineStr">
        <is>
          <t>A</t>
        </is>
      </c>
      <c r="K102" s="16" t="inlineStr">
        <is>
          <t>1</t>
        </is>
      </c>
      <c r="L102" s="16" t="inlineStr">
        <is>
          <t>Encuestador A</t>
        </is>
      </c>
      <c r="M102" s="16" t="inlineStr">
        <is>
          <t>Puesto 1</t>
        </is>
      </c>
      <c r="N102" s="16" t="inlineStr">
        <is>
          <t>Sí</t>
        </is>
      </c>
      <c r="O102" s="16" t="inlineStr">
        <is>
          <t>Sí</t>
        </is>
      </c>
      <c r="P102" s="16" t="n">
        <v>39</v>
      </c>
      <c r="Q102" s="16" t="inlineStr">
        <is>
          <t>Sí</t>
        </is>
      </c>
      <c r="R102" s="16" t="inlineStr">
        <is>
          <t>Sí</t>
        </is>
      </c>
      <c r="S102" s="16" t="inlineStr">
        <is>
          <t>Sí</t>
        </is>
      </c>
      <c r="T102" s="16" t="inlineStr">
        <is>
          <t>finalizado</t>
        </is>
      </c>
      <c r="U102" s="16" t="inlineStr">
        <is>
          <t>2026-10-v2</t>
        </is>
      </c>
      <c r="V102" s="16" t="inlineStr">
        <is>
          <t>2026-09-29T15:00:00.000Z</t>
        </is>
      </c>
      <c r="W102" s="16" t="inlineStr">
        <is>
          <t>Argentina</t>
        </is>
      </c>
      <c r="Y102" s="16" t="inlineStr">
        <is>
          <t>Terciario completo</t>
        </is>
      </c>
      <c r="Z102" s="16" t="inlineStr">
        <is>
          <t>No</t>
        </is>
      </c>
      <c r="AA102" s="16" t="inlineStr">
        <is>
          <t>5</t>
        </is>
      </c>
      <c r="AB102" s="16" t="inlineStr">
        <is>
          <t>5</t>
        </is>
      </c>
      <c r="AC102" s="16" t="inlineStr">
        <is>
          <t>Portugués</t>
        </is>
      </c>
      <c r="AE102" s="16" t="inlineStr">
        <is>
          <t>Español</t>
        </is>
      </c>
      <c r="AG102" s="16" t="inlineStr">
        <is>
          <t>Argentina</t>
        </is>
      </c>
      <c r="AI102" s="16" t="inlineStr">
        <is>
          <t>Bueno</t>
        </is>
      </c>
      <c r="AJ102" s="16" t="n">
        <v>3</v>
      </c>
      <c r="AK102" s="16" t="inlineStr">
        <is>
          <t>Viaje internacional</t>
        </is>
      </c>
      <c r="AL102" s="16" t="inlineStr">
        <is>
          <t>Una vez al mes</t>
        </is>
      </c>
      <c r="AN102" s="16" t="inlineStr">
        <is>
          <t>2 veces por semana</t>
        </is>
      </c>
      <c r="AP102" s="16" t="inlineStr">
        <is>
          <t>Dueño del camión</t>
        </is>
      </c>
      <c r="AR102" s="16" t="inlineStr">
        <is>
          <t>Conforme</t>
        </is>
      </c>
      <c r="AS102" s="16" t="inlineStr">
        <is>
          <t>Duda</t>
        </is>
      </c>
      <c r="AT102" s="16" t="n">
        <v>5</v>
      </c>
      <c r="AU102" s="16" t="inlineStr">
        <is>
          <t>Sí</t>
        </is>
      </c>
      <c r="AV102" s="16" t="inlineStr">
        <is>
          <t>Estaciones de servicio; En el camión al costado de la ruta</t>
        </is>
      </c>
      <c r="AX102" s="16" t="n">
        <v>6.9</v>
      </c>
      <c r="AY102" s="16" t="inlineStr">
        <is>
          <t>Nunca</t>
        </is>
      </c>
      <c r="AZ102" s="16" t="inlineStr">
        <is>
          <t>Agua</t>
        </is>
      </c>
      <c r="BB102" s="16" t="inlineStr">
        <is>
          <t>A veces</t>
        </is>
      </c>
      <c r="BC102" s="16" t="inlineStr">
        <is>
          <t>No</t>
        </is>
      </c>
      <c r="BD102" s="16" t="inlineStr">
        <is>
          <t>No</t>
        </is>
      </c>
      <c r="BE102" s="16" t="inlineStr">
        <is>
          <t>Parcialmente</t>
        </is>
      </c>
      <c r="BF102" s="16" t="inlineStr">
        <is>
          <t>Obra social</t>
        </is>
      </c>
      <c r="BG102" s="16" t="inlineStr">
        <is>
          <t>Ninguno</t>
        </is>
      </c>
      <c r="BH102" s="16" t="inlineStr">
        <is>
          <t>Una vez al año</t>
        </is>
      </c>
      <c r="BI102" s="16" t="inlineStr">
        <is>
          <t>Sistema público; Otros (medicina tradicional, alternativa, etc.)</t>
        </is>
      </c>
      <c r="BJ102" s="16" t="inlineStr">
        <is>
          <t>Sí</t>
        </is>
      </c>
      <c r="BK102" s="16" t="inlineStr">
        <is>
          <t>Lumbar</t>
        </is>
      </c>
      <c r="BL102" s="16" t="inlineStr">
        <is>
          <t>Medicamentos</t>
        </is>
      </c>
      <c r="BM102" s="16" t="inlineStr">
        <is>
          <t>Ibuprofeno</t>
        </is>
      </c>
      <c r="BN102" s="16" t="inlineStr">
        <is>
          <t>No tengo diagnóstico de enfermedad</t>
        </is>
      </c>
      <c r="BP102" s="16" t="inlineStr">
        <is>
          <t>Una vez a la semana</t>
        </is>
      </c>
      <c r="BQ102" s="16" t="inlineStr">
        <is>
          <t>Energizantes (Speed, Monster, Red Bull, etc.)</t>
        </is>
      </c>
      <c r="BS102" s="16" t="inlineStr">
        <is>
          <t>Sí</t>
        </is>
      </c>
      <c r="BT102" s="16" t="inlineStr">
        <is>
          <t>No</t>
        </is>
      </c>
      <c r="BU102" s="16" t="inlineStr">
        <is>
          <t>A veces</t>
        </is>
      </c>
      <c r="BV102" s="16" t="inlineStr">
        <is>
          <t>Sí</t>
        </is>
      </c>
      <c r="BW102" s="16" t="inlineStr">
        <is>
          <t>No</t>
        </is>
      </c>
      <c r="BX102" s="16" t="inlineStr">
        <is>
          <t>Varón</t>
        </is>
      </c>
      <c r="BY102" s="16" t="n">
        <v>64.5</v>
      </c>
      <c r="BZ102" s="16" t="n">
        <v>1.69</v>
      </c>
      <c r="CA102" s="16" t="n">
        <v>22.6</v>
      </c>
      <c r="CB102" s="16" t="n">
        <v>116</v>
      </c>
      <c r="CC102" s="16" t="n">
        <v>150</v>
      </c>
      <c r="CD102" s="16" t="n">
        <v>95</v>
      </c>
      <c r="CE102" s="16" t="inlineStr">
        <is>
          <t>No</t>
        </is>
      </c>
      <c r="CF102" s="16" t="inlineStr">
        <is>
          <t>No</t>
        </is>
      </c>
      <c r="CG102" s="16" t="inlineStr">
        <is>
          <t>No</t>
        </is>
      </c>
      <c r="CH102" s="16" t="inlineStr">
        <is>
          <t>Sí</t>
        </is>
      </c>
      <c r="CI102" s="16" t="inlineStr">
        <is>
          <t>No</t>
        </is>
      </c>
      <c r="CJ102" s="16" t="inlineStr">
        <is>
          <t>No</t>
        </is>
      </c>
      <c r="CK102" s="16" t="inlineStr">
        <is>
          <t>No</t>
        </is>
      </c>
      <c r="CL102" s="16" t="inlineStr">
        <is>
          <t>Sí</t>
        </is>
      </c>
      <c r="CM102" s="16" t="inlineStr">
        <is>
          <t>07:31</t>
        </is>
      </c>
      <c r="CN102" s="16" t="inlineStr">
        <is>
          <t>Mate</t>
        </is>
      </c>
      <c r="CO102" s="16" t="inlineStr">
        <is>
          <t>14:30</t>
        </is>
      </c>
      <c r="CP102" s="16" t="n">
        <v>120</v>
      </c>
      <c r="CQ102" s="16" t="n">
        <v>419</v>
      </c>
      <c r="CR102" s="16" t="inlineStr">
        <is>
          <t>Sí</t>
        </is>
      </c>
      <c r="CS102" s="16" t="n">
        <v>9</v>
      </c>
      <c r="CT102" s="16" t="inlineStr">
        <is>
          <t>Ligeramente elevado</t>
        </is>
      </c>
      <c r="CU102" s="16" t="inlineStr">
        <is>
          <t>4 %</t>
        </is>
      </c>
      <c r="CV102" s="16" t="inlineStr">
        <is>
          <t>Sí</t>
        </is>
      </c>
      <c r="CW102" s="16" t="n">
        <v>-7</v>
      </c>
      <c r="CX102" s="16" t="inlineStr">
        <is>
          <t>&lt;1</t>
        </is>
      </c>
      <c r="CY102" s="16" t="inlineStr">
        <is>
          <t>Bajo</t>
        </is>
      </c>
    </row>
    <row r="103">
      <c r="A103" s="16" t="inlineStr">
        <is>
          <t>demo-102</t>
        </is>
      </c>
      <c r="B103" s="16" t="inlineStr">
        <is>
          <t>A1-0102</t>
        </is>
      </c>
      <c r="C103" s="16" t="inlineStr">
        <is>
          <t>102-59-4400</t>
        </is>
      </c>
      <c r="D103" s="16" t="n">
        <v>102</v>
      </c>
      <c r="E103" s="16" t="n">
        <v>59</v>
      </c>
      <c r="F103" s="16" t="inlineStr">
        <is>
          <t>4400</t>
        </is>
      </c>
      <c r="G103" s="17" t="n">
        <v>46301</v>
      </c>
      <c r="H103" s="16" t="inlineStr">
        <is>
          <t>12:01</t>
        </is>
      </c>
      <c r="J103" s="16" t="inlineStr">
        <is>
          <t>A</t>
        </is>
      </c>
      <c r="K103" s="16" t="inlineStr">
        <is>
          <t>1</t>
        </is>
      </c>
      <c r="L103" s="16" t="inlineStr">
        <is>
          <t>Encuestador A</t>
        </is>
      </c>
      <c r="M103" s="16" t="inlineStr">
        <is>
          <t>Puesto 2</t>
        </is>
      </c>
      <c r="N103" s="16" t="inlineStr">
        <is>
          <t>Sí</t>
        </is>
      </c>
      <c r="O103" s="16" t="inlineStr">
        <is>
          <t>Sí</t>
        </is>
      </c>
      <c r="P103" s="16" t="n">
        <v>39</v>
      </c>
      <c r="Q103" s="16" t="inlineStr">
        <is>
          <t>Sí</t>
        </is>
      </c>
      <c r="R103" s="16" t="inlineStr">
        <is>
          <t>Sí</t>
        </is>
      </c>
      <c r="S103" s="16" t="inlineStr">
        <is>
          <t>Sí</t>
        </is>
      </c>
      <c r="T103" s="16" t="inlineStr">
        <is>
          <t>finalizado</t>
        </is>
      </c>
      <c r="U103" s="16" t="inlineStr">
        <is>
          <t>2026-10-v2</t>
        </is>
      </c>
      <c r="V103" s="16" t="inlineStr">
        <is>
          <t>2026-10-06T15:00:00.000Z</t>
        </is>
      </c>
      <c r="W103" s="16" t="inlineStr">
        <is>
          <t>Paraguay</t>
        </is>
      </c>
      <c r="Y103" s="16" t="inlineStr">
        <is>
          <t>Terciario incompleto</t>
        </is>
      </c>
      <c r="Z103" s="16" t="inlineStr">
        <is>
          <t>Sí</t>
        </is>
      </c>
      <c r="AA103" s="16" t="inlineStr">
        <is>
          <t>3</t>
        </is>
      </c>
      <c r="AB103" s="16" t="inlineStr">
        <is>
          <t>5</t>
        </is>
      </c>
      <c r="AC103" s="16" t="inlineStr">
        <is>
          <t>Español; Inglés</t>
        </is>
      </c>
      <c r="AE103" s="16" t="inlineStr">
        <is>
          <t>Español</t>
        </is>
      </c>
      <c r="AG103" s="16" t="inlineStr">
        <is>
          <t>Argentina</t>
        </is>
      </c>
      <c r="AI103" s="16" t="inlineStr">
        <is>
          <t>Bueno</t>
        </is>
      </c>
      <c r="AJ103" s="16" t="n">
        <v>21</v>
      </c>
      <c r="AK103" s="16" t="inlineStr">
        <is>
          <t>Viaje interprovincial</t>
        </is>
      </c>
      <c r="AL103" s="16" t="inlineStr">
        <is>
          <t>Quincenalmente</t>
        </is>
      </c>
      <c r="AN103" s="16" t="inlineStr">
        <is>
          <t>Diariamente</t>
        </is>
      </c>
      <c r="AP103" s="16" t="inlineStr">
        <is>
          <t>Empleado</t>
        </is>
      </c>
      <c r="AR103" s="16" t="inlineStr">
        <is>
          <t>Conforme</t>
        </is>
      </c>
      <c r="AS103" s="16" t="inlineStr">
        <is>
          <t>Sí</t>
        </is>
      </c>
      <c r="AT103" s="16" t="n">
        <v>3.6</v>
      </c>
      <c r="AU103" s="16" t="inlineStr">
        <is>
          <t>Sí</t>
        </is>
      </c>
      <c r="AV103" s="16" t="inlineStr">
        <is>
          <t>Paradores; En el camión al costado de la ruta</t>
        </is>
      </c>
      <c r="AX103" s="16" t="n">
        <v>6.9</v>
      </c>
      <c r="AY103" s="16" t="inlineStr">
        <is>
          <t>Nunca</t>
        </is>
      </c>
      <c r="AZ103" s="16" t="inlineStr">
        <is>
          <t>Jugos artificiales; Agua</t>
        </is>
      </c>
      <c r="BB103" s="16" t="inlineStr">
        <is>
          <t>A veces</t>
        </is>
      </c>
      <c r="BC103" s="16" t="inlineStr">
        <is>
          <t>No</t>
        </is>
      </c>
      <c r="BD103" s="16" t="inlineStr">
        <is>
          <t>No</t>
        </is>
      </c>
      <c r="BE103" s="16" t="inlineStr">
        <is>
          <t>Sí</t>
        </is>
      </c>
      <c r="BF103" s="16" t="inlineStr">
        <is>
          <t>Seguro de salud</t>
        </is>
      </c>
      <c r="BG103" s="16" t="inlineStr">
        <is>
          <t>Ninguno</t>
        </is>
      </c>
      <c r="BH103" s="16" t="inlineStr">
        <is>
          <t>Nunca</t>
        </is>
      </c>
      <c r="BI103" s="16" t="inlineStr">
        <is>
          <t>Sistema público</t>
        </is>
      </c>
      <c r="BJ103" s="16" t="inlineStr">
        <is>
          <t>Sí</t>
        </is>
      </c>
      <c r="BK103" s="16" t="inlineStr">
        <is>
          <t>Rodillas</t>
        </is>
      </c>
      <c r="BL103" s="16" t="inlineStr">
        <is>
          <t>Medicamentos</t>
        </is>
      </c>
      <c r="BM103" s="16" t="inlineStr">
        <is>
          <t>Ibuprofeno</t>
        </is>
      </c>
      <c r="BN103" s="16" t="inlineStr">
        <is>
          <t>Musculoesqueléticos; Digestivas</t>
        </is>
      </c>
      <c r="BP103" s="16" t="inlineStr">
        <is>
          <t>Rara vez</t>
        </is>
      </c>
      <c r="BQ103" s="16" t="inlineStr">
        <is>
          <t>Energizantes (Speed, Monster, Red Bull, etc.)</t>
        </is>
      </c>
      <c r="BS103" s="16" t="inlineStr">
        <is>
          <t>No</t>
        </is>
      </c>
      <c r="BT103" s="16" t="inlineStr">
        <is>
          <t>Sí</t>
        </is>
      </c>
      <c r="BU103" s="16" t="inlineStr">
        <is>
          <t>Siempre</t>
        </is>
      </c>
      <c r="BV103" s="16" t="inlineStr">
        <is>
          <t>Sí</t>
        </is>
      </c>
      <c r="BW103" s="16" t="inlineStr">
        <is>
          <t>No</t>
        </is>
      </c>
      <c r="BX103" s="16" t="inlineStr">
        <is>
          <t>Varón</t>
        </is>
      </c>
      <c r="BY103" s="16" t="n">
        <v>64.8</v>
      </c>
      <c r="BZ103" s="16" t="n">
        <v>1.64</v>
      </c>
      <c r="CA103" s="16" t="n">
        <v>24.1</v>
      </c>
      <c r="CB103" s="16" t="n">
        <v>102</v>
      </c>
      <c r="CC103" s="16" t="n">
        <v>130</v>
      </c>
      <c r="CD103" s="16" t="n">
        <v>83</v>
      </c>
      <c r="CE103" s="16" t="inlineStr">
        <is>
          <t>Sí</t>
        </is>
      </c>
      <c r="CF103" s="16" t="inlineStr">
        <is>
          <t>No</t>
        </is>
      </c>
      <c r="CG103" s="16" t="inlineStr">
        <is>
          <t>No</t>
        </is>
      </c>
      <c r="CH103" s="16" t="inlineStr">
        <is>
          <t>No</t>
        </is>
      </c>
      <c r="CI103" s="16" t="inlineStr">
        <is>
          <t>No</t>
        </is>
      </c>
      <c r="CJ103" s="16" t="inlineStr">
        <is>
          <t>Sí, parientes lejanos</t>
        </is>
      </c>
      <c r="CK103" s="16" t="inlineStr">
        <is>
          <t>Sí</t>
        </is>
      </c>
      <c r="CL103" s="16" t="inlineStr">
        <is>
          <t>Sí</t>
        </is>
      </c>
      <c r="CM103" s="16" t="inlineStr">
        <is>
          <t>07:48</t>
        </is>
      </c>
      <c r="CN103" s="16" t="inlineStr">
        <is>
          <t>Mate</t>
        </is>
      </c>
      <c r="CO103" s="16" t="inlineStr">
        <is>
          <t>11:30</t>
        </is>
      </c>
      <c r="CP103" s="16" t="n">
        <v>151</v>
      </c>
      <c r="CQ103" s="16" t="n">
        <v>222</v>
      </c>
      <c r="CR103" s="16" t="inlineStr">
        <is>
          <t>Sí</t>
        </is>
      </c>
      <c r="CS103" s="16" t="n">
        <v>10</v>
      </c>
      <c r="CT103" s="16" t="inlineStr">
        <is>
          <t>Ligeramente elevado</t>
        </is>
      </c>
      <c r="CU103" s="16" t="inlineStr">
        <is>
          <t>4 %</t>
        </is>
      </c>
      <c r="CV103" s="16" t="inlineStr">
        <is>
          <t>Sí</t>
        </is>
      </c>
      <c r="CW103" s="16" t="n">
        <v>12</v>
      </c>
      <c r="CX103" s="16" t="inlineStr">
        <is>
          <t>10</t>
        </is>
      </c>
      <c r="CY103" s="16" t="inlineStr">
        <is>
          <t>Moderado</t>
        </is>
      </c>
    </row>
    <row r="104">
      <c r="A104" s="16" t="inlineStr">
        <is>
          <t>demo-103</t>
        </is>
      </c>
      <c r="B104" s="16" t="inlineStr">
        <is>
          <t>A1-0103</t>
        </is>
      </c>
      <c r="C104" s="16" t="inlineStr">
        <is>
          <t>103-23-4500</t>
        </is>
      </c>
      <c r="D104" s="16" t="n">
        <v>103</v>
      </c>
      <c r="E104" s="16" t="n">
        <v>23</v>
      </c>
      <c r="F104" s="16" t="inlineStr">
        <is>
          <t>4500</t>
        </is>
      </c>
      <c r="G104" s="17" t="n">
        <v>46289</v>
      </c>
      <c r="H104" s="16" t="inlineStr">
        <is>
          <t>14:04</t>
        </is>
      </c>
      <c r="J104" s="16" t="inlineStr">
        <is>
          <t>A</t>
        </is>
      </c>
      <c r="K104" s="16" t="inlineStr">
        <is>
          <t>1</t>
        </is>
      </c>
      <c r="L104" s="16" t="inlineStr">
        <is>
          <t>Encuestador A</t>
        </is>
      </c>
      <c r="M104" s="16" t="inlineStr">
        <is>
          <t>Puesto 1</t>
        </is>
      </c>
      <c r="N104" s="16" t="inlineStr">
        <is>
          <t>Sí</t>
        </is>
      </c>
      <c r="O104" s="16" t="inlineStr">
        <is>
          <t>No</t>
        </is>
      </c>
      <c r="P104" s="16" t="n">
        <v>39</v>
      </c>
      <c r="Q104" s="16" t="inlineStr">
        <is>
          <t>Sí</t>
        </is>
      </c>
      <c r="R104" s="16" t="inlineStr">
        <is>
          <t>Sí</t>
        </is>
      </c>
      <c r="S104" s="16" t="inlineStr">
        <is>
          <t>Sí</t>
        </is>
      </c>
      <c r="T104" s="16" t="inlineStr">
        <is>
          <t>finalizado</t>
        </is>
      </c>
      <c r="U104" s="16" t="inlineStr">
        <is>
          <t>2026-10-v2</t>
        </is>
      </c>
      <c r="V104" s="16" t="inlineStr">
        <is>
          <t>2026-09-24T15:00:00.000Z</t>
        </is>
      </c>
      <c r="W104" s="16" t="inlineStr">
        <is>
          <t>Argentina</t>
        </is>
      </c>
      <c r="Y104" s="16" t="inlineStr">
        <is>
          <t>Secundaria completa</t>
        </is>
      </c>
      <c r="Z104" s="16" t="inlineStr">
        <is>
          <t>No</t>
        </is>
      </c>
      <c r="AA104" s="16" t="inlineStr">
        <is>
          <t>2</t>
        </is>
      </c>
      <c r="AB104" s="16" t="inlineStr">
        <is>
          <t>4</t>
        </is>
      </c>
      <c r="AC104" s="16" t="inlineStr">
        <is>
          <t>Portugués</t>
        </is>
      </c>
      <c r="AE104" s="16" t="inlineStr">
        <is>
          <t>Español</t>
        </is>
      </c>
      <c r="AG104" s="16" t="inlineStr">
        <is>
          <t>Argentina</t>
        </is>
      </c>
      <c r="AI104" s="16" t="inlineStr">
        <is>
          <t>Regular</t>
        </is>
      </c>
      <c r="AJ104" s="16" t="n">
        <v>3</v>
      </c>
      <c r="AK104" s="16" t="inlineStr">
        <is>
          <t>Viaje internacional</t>
        </is>
      </c>
      <c r="AL104" s="16" t="inlineStr">
        <is>
          <t>Quincenalmente</t>
        </is>
      </c>
      <c r="AN104" s="16" t="inlineStr">
        <is>
          <t>3 veces por semana</t>
        </is>
      </c>
      <c r="AP104" s="16" t="inlineStr">
        <is>
          <t>Empleado</t>
        </is>
      </c>
      <c r="AR104" s="16" t="inlineStr">
        <is>
          <t>Conforme</t>
        </is>
      </c>
      <c r="AS104" s="16" t="inlineStr">
        <is>
          <t>Sí</t>
        </is>
      </c>
      <c r="AT104" s="16" t="n">
        <v>6.7</v>
      </c>
      <c r="AU104" s="16" t="inlineStr">
        <is>
          <t>Sí</t>
        </is>
      </c>
      <c r="AV104" s="16" t="inlineStr">
        <is>
          <t>En el camión al costado de la ruta; Paradores</t>
        </is>
      </c>
      <c r="AX104" s="16" t="n">
        <v>4.9</v>
      </c>
      <c r="AY104" s="16" t="inlineStr">
        <is>
          <t>Varias veces por semana</t>
        </is>
      </c>
      <c r="AZ104" s="16" t="inlineStr">
        <is>
          <t>Gaseosas; Café</t>
        </is>
      </c>
      <c r="BB104" s="16" t="inlineStr">
        <is>
          <t>Nunca</t>
        </is>
      </c>
      <c r="BC104" s="16" t="inlineStr">
        <is>
          <t>Rara vez</t>
        </is>
      </c>
      <c r="BD104" s="16" t="inlineStr">
        <is>
          <t>No</t>
        </is>
      </c>
      <c r="BE104" s="16" t="inlineStr">
        <is>
          <t>No</t>
        </is>
      </c>
      <c r="BF104" s="16" t="inlineStr">
        <is>
          <t>Seguro de salud</t>
        </is>
      </c>
      <c r="BG104" s="16" t="inlineStr">
        <is>
          <t>Sistema privado</t>
        </is>
      </c>
      <c r="BH104" s="16" t="inlineStr">
        <is>
          <t>2 veces al año</t>
        </is>
      </c>
      <c r="BI104" s="16" t="inlineStr">
        <is>
          <t>Sistema público; Otros (medicina tradicional, alternativa, etc.)</t>
        </is>
      </c>
      <c r="BJ104" s="16" t="inlineStr">
        <is>
          <t>Sí</t>
        </is>
      </c>
      <c r="BK104" s="16" t="inlineStr">
        <is>
          <t>Lumbar</t>
        </is>
      </c>
      <c r="BL104" s="16" t="inlineStr">
        <is>
          <t>Medicamentos</t>
        </is>
      </c>
      <c r="BM104" s="16" t="inlineStr">
        <is>
          <t>Ibuprofeno</t>
        </is>
      </c>
      <c r="BN104" s="16" t="inlineStr">
        <is>
          <t>Obesidad</t>
        </is>
      </c>
      <c r="BP104" s="16" t="inlineStr">
        <is>
          <t>2 a 3 veces por semana</t>
        </is>
      </c>
      <c r="BQ104" s="16" t="inlineStr">
        <is>
          <t>Café; Coca-Cola</t>
        </is>
      </c>
      <c r="BS104" s="16" t="inlineStr">
        <is>
          <t>No</t>
        </is>
      </c>
      <c r="BT104" s="16" t="inlineStr">
        <is>
          <t>No</t>
        </is>
      </c>
      <c r="BU104" s="16" t="inlineStr">
        <is>
          <t>Siempre</t>
        </is>
      </c>
      <c r="BV104" s="16" t="inlineStr">
        <is>
          <t>Sí</t>
        </is>
      </c>
      <c r="BW104" s="16" t="inlineStr">
        <is>
          <t>No</t>
        </is>
      </c>
      <c r="BX104" s="16" t="inlineStr">
        <is>
          <t>Varón</t>
        </is>
      </c>
      <c r="BY104" s="16" t="n">
        <v>94</v>
      </c>
      <c r="BZ104" s="16" t="n">
        <v>1.62</v>
      </c>
      <c r="CA104" s="16" t="n">
        <v>35.8</v>
      </c>
      <c r="CB104" s="16" t="n">
        <v>106</v>
      </c>
      <c r="CC104" s="16" t="n">
        <v>157</v>
      </c>
      <c r="CD104" s="16" t="n">
        <v>99</v>
      </c>
      <c r="CE104" s="16" t="inlineStr">
        <is>
          <t>No</t>
        </is>
      </c>
      <c r="CF104" s="16" t="inlineStr">
        <is>
          <t>Sí</t>
        </is>
      </c>
      <c r="CG104" s="16" t="inlineStr">
        <is>
          <t>No</t>
        </is>
      </c>
      <c r="CH104" s="16" t="inlineStr">
        <is>
          <t>No</t>
        </is>
      </c>
      <c r="CI104" s="16" t="inlineStr">
        <is>
          <t>No</t>
        </is>
      </c>
      <c r="CJ104" s="16" t="inlineStr">
        <is>
          <t>No</t>
        </is>
      </c>
      <c r="CK104" s="16" t="inlineStr">
        <is>
          <t>No</t>
        </is>
      </c>
      <c r="CL104" s="16" t="inlineStr">
        <is>
          <t>Sí</t>
        </is>
      </c>
      <c r="CM104" s="16" t="inlineStr">
        <is>
          <t>07:42</t>
        </is>
      </c>
      <c r="CN104" s="16" t="inlineStr">
        <is>
          <t>Mate</t>
        </is>
      </c>
      <c r="CO104" s="16" t="inlineStr">
        <is>
          <t>11:30</t>
        </is>
      </c>
      <c r="CP104" s="16" t="n">
        <v>182</v>
      </c>
      <c r="CQ104" s="16" t="n">
        <v>228</v>
      </c>
      <c r="CR104" s="16" t="inlineStr">
        <is>
          <t>Sí</t>
        </is>
      </c>
      <c r="CS104" s="16" t="n">
        <v>9</v>
      </c>
      <c r="CT104" s="16" t="inlineStr">
        <is>
          <t>Ligeramente elevado</t>
        </is>
      </c>
      <c r="CU104" s="16" t="inlineStr">
        <is>
          <t>4 %</t>
        </is>
      </c>
      <c r="CV104" s="16" t="inlineStr">
        <is>
          <t>Sí</t>
        </is>
      </c>
      <c r="CW104" s="16" t="n">
        <v>-5</v>
      </c>
      <c r="CX104" s="16" t="inlineStr">
        <is>
          <t>&lt;1</t>
        </is>
      </c>
      <c r="CY104" s="16" t="inlineStr">
        <is>
          <t>Bajo</t>
        </is>
      </c>
    </row>
    <row r="105">
      <c r="A105" s="16" t="inlineStr">
        <is>
          <t>demo-104</t>
        </is>
      </c>
      <c r="B105" s="16" t="inlineStr">
        <is>
          <t>B1-0104</t>
        </is>
      </c>
      <c r="C105" s="16" t="inlineStr">
        <is>
          <t>303-57-4600</t>
        </is>
      </c>
      <c r="D105" s="16" t="n">
        <v>303</v>
      </c>
      <c r="E105" s="16" t="n">
        <v>57</v>
      </c>
      <c r="F105" s="16" t="inlineStr">
        <is>
          <t>4600</t>
        </is>
      </c>
      <c r="G105" s="17" t="n">
        <v>46291</v>
      </c>
      <c r="H105" s="16" t="inlineStr">
        <is>
          <t>15:02</t>
        </is>
      </c>
      <c r="J105" s="16" t="inlineStr">
        <is>
          <t>B</t>
        </is>
      </c>
      <c r="K105" s="16" t="inlineStr">
        <is>
          <t>1</t>
        </is>
      </c>
      <c r="L105" s="16" t="inlineStr">
        <is>
          <t>Encuestador B</t>
        </is>
      </c>
      <c r="M105" s="16" t="inlineStr">
        <is>
          <t>Puesto 1</t>
        </is>
      </c>
      <c r="N105" s="16" t="inlineStr">
        <is>
          <t>Sí</t>
        </is>
      </c>
      <c r="O105" s="16" t="inlineStr">
        <is>
          <t>Sí</t>
        </is>
      </c>
      <c r="P105" s="16" t="n">
        <v>39</v>
      </c>
      <c r="Q105" s="16" t="inlineStr">
        <is>
          <t>Sí</t>
        </is>
      </c>
      <c r="R105" s="16" t="inlineStr">
        <is>
          <t>Sí</t>
        </is>
      </c>
      <c r="S105" s="16" t="inlineStr">
        <is>
          <t>Sí</t>
        </is>
      </c>
      <c r="T105" s="16" t="inlineStr">
        <is>
          <t>finalizado</t>
        </is>
      </c>
      <c r="U105" s="16" t="inlineStr">
        <is>
          <t>2026-10-v2</t>
        </is>
      </c>
      <c r="V105" s="16" t="inlineStr">
        <is>
          <t>2026-09-26T15:00:00.000Z</t>
        </is>
      </c>
      <c r="W105" s="16" t="inlineStr">
        <is>
          <t>Chile</t>
        </is>
      </c>
      <c r="Y105" s="16" t="inlineStr">
        <is>
          <t>Primaria completa</t>
        </is>
      </c>
      <c r="Z105" s="16" t="inlineStr">
        <is>
          <t>Sí</t>
        </is>
      </c>
      <c r="AA105" s="16" t="inlineStr">
        <is>
          <t>Más de 5</t>
        </is>
      </c>
      <c r="AB105" s="16" t="inlineStr">
        <is>
          <t>2</t>
        </is>
      </c>
      <c r="AC105" s="16" t="inlineStr">
        <is>
          <t>Español</t>
        </is>
      </c>
      <c r="AE105" s="16" t="inlineStr">
        <is>
          <t>Español</t>
        </is>
      </c>
      <c r="AG105" s="16" t="inlineStr">
        <is>
          <t>Argentina</t>
        </is>
      </c>
      <c r="AI105" s="16" t="inlineStr">
        <is>
          <t>Bueno</t>
        </is>
      </c>
      <c r="AJ105" s="16" t="n">
        <v>9</v>
      </c>
      <c r="AK105" s="16" t="inlineStr">
        <is>
          <t>Viaje provincial (Jujuy)</t>
        </is>
      </c>
      <c r="AL105" s="16" t="inlineStr">
        <is>
          <t>Una vez a la semana</t>
        </is>
      </c>
      <c r="AN105" s="16" t="inlineStr">
        <is>
          <t>3 veces por semana</t>
        </is>
      </c>
      <c r="AP105" s="16" t="inlineStr">
        <is>
          <t>Dueño del camión</t>
        </is>
      </c>
      <c r="AR105" s="16" t="inlineStr">
        <is>
          <t>Disconforme</t>
        </is>
      </c>
      <c r="AS105" s="16" t="inlineStr">
        <is>
          <t>Sí</t>
        </is>
      </c>
      <c r="AT105" s="16" t="n">
        <v>3.5</v>
      </c>
      <c r="AU105" s="16" t="inlineStr">
        <is>
          <t>Sí</t>
        </is>
      </c>
      <c r="AV105" s="16" t="inlineStr">
        <is>
          <t>Paradores</t>
        </is>
      </c>
      <c r="AX105" s="16" t="n">
        <v>6.4</v>
      </c>
      <c r="AY105" s="16" t="inlineStr">
        <is>
          <t>Varias veces por semana</t>
        </is>
      </c>
      <c r="AZ105" s="16" t="inlineStr">
        <is>
          <t>Gaseosas; Café; Mate</t>
        </is>
      </c>
      <c r="BB105" s="16" t="inlineStr">
        <is>
          <t>Nunca</t>
        </is>
      </c>
      <c r="BC105" s="16" t="inlineStr">
        <is>
          <t>Algunas veces</t>
        </is>
      </c>
      <c r="BD105" s="16" t="inlineStr">
        <is>
          <t>No</t>
        </is>
      </c>
      <c r="BE105" s="16" t="inlineStr">
        <is>
          <t>Sí</t>
        </is>
      </c>
      <c r="BF105" s="16" t="inlineStr">
        <is>
          <t>Seguro de salud</t>
        </is>
      </c>
      <c r="BG105" s="16" t="inlineStr">
        <is>
          <t>Sistema privado</t>
        </is>
      </c>
      <c r="BH105" s="16" t="inlineStr">
        <is>
          <t>Una vez al año</t>
        </is>
      </c>
      <c r="BI105" s="16" t="inlineStr">
        <is>
          <t>Sistema público</t>
        </is>
      </c>
      <c r="BJ105" s="16" t="inlineStr">
        <is>
          <t>No</t>
        </is>
      </c>
      <c r="BL105" s="16" t="inlineStr">
        <is>
          <t>Medicamentos; Hierbas</t>
        </is>
      </c>
      <c r="BM105" s="16" t="inlineStr">
        <is>
          <t>Ibuprofeno</t>
        </is>
      </c>
      <c r="BN105" s="16" t="inlineStr">
        <is>
          <t>No tengo diagnóstico de enfermedad</t>
        </is>
      </c>
      <c r="BP105" s="16" t="inlineStr">
        <is>
          <t>Nunca</t>
        </is>
      </c>
      <c r="BQ105" s="16" t="inlineStr">
        <is>
          <t>Café</t>
        </is>
      </c>
      <c r="BS105" s="16" t="inlineStr">
        <is>
          <t>Sí</t>
        </is>
      </c>
      <c r="BT105" s="16" t="inlineStr">
        <is>
          <t>Sí</t>
        </is>
      </c>
      <c r="BU105" s="16" t="inlineStr">
        <is>
          <t>A veces</t>
        </is>
      </c>
      <c r="BV105" s="16" t="inlineStr">
        <is>
          <t>No</t>
        </is>
      </c>
      <c r="BW105" s="16" t="inlineStr">
        <is>
          <t>No</t>
        </is>
      </c>
      <c r="BX105" s="16" t="inlineStr">
        <is>
          <t>Varón</t>
        </is>
      </c>
      <c r="BY105" s="16" t="n">
        <v>94.40000000000001</v>
      </c>
      <c r="BZ105" s="16" t="n">
        <v>1.72</v>
      </c>
      <c r="CA105" s="16" t="n">
        <v>31.9</v>
      </c>
      <c r="CB105" s="16" t="n">
        <v>117</v>
      </c>
      <c r="CC105" s="16" t="n">
        <v>124</v>
      </c>
      <c r="CD105" s="16" t="n">
        <v>79</v>
      </c>
      <c r="CE105" s="16" t="inlineStr">
        <is>
          <t>Sí</t>
        </is>
      </c>
      <c r="CF105" s="16" t="inlineStr">
        <is>
          <t>Sí</t>
        </is>
      </c>
      <c r="CG105" s="16" t="inlineStr">
        <is>
          <t>No</t>
        </is>
      </c>
      <c r="CH105" s="16" t="inlineStr">
        <is>
          <t>Sí</t>
        </is>
      </c>
      <c r="CI105" s="16" t="inlineStr">
        <is>
          <t>No</t>
        </is>
      </c>
      <c r="CJ105" s="16" t="inlineStr">
        <is>
          <t>Sí, parientes lejanos</t>
        </is>
      </c>
      <c r="CK105" s="16" t="inlineStr">
        <is>
          <t>No</t>
        </is>
      </c>
      <c r="CL105" s="16" t="inlineStr">
        <is>
          <t>Sí</t>
        </is>
      </c>
      <c r="CM105" s="16" t="inlineStr">
        <is>
          <t>07:37</t>
        </is>
      </c>
      <c r="CN105" s="16" t="inlineStr">
        <is>
          <t>Mate</t>
        </is>
      </c>
      <c r="CO105" s="16" t="inlineStr">
        <is>
          <t>14:30</t>
        </is>
      </c>
      <c r="CP105" s="16" t="n">
        <v>120</v>
      </c>
      <c r="CQ105" s="16" t="n">
        <v>413</v>
      </c>
      <c r="CR105" s="16" t="inlineStr">
        <is>
          <t>Sí</t>
        </is>
      </c>
      <c r="CS105" s="16" t="n">
        <v>15</v>
      </c>
      <c r="CT105" s="16" t="inlineStr">
        <is>
          <t>Alto</t>
        </is>
      </c>
      <c r="CU105" s="16" t="inlineStr">
        <is>
          <t>33 %</t>
        </is>
      </c>
      <c r="CV105" s="16" t="inlineStr">
        <is>
          <t>Sí</t>
        </is>
      </c>
      <c r="CW105" s="16" t="n">
        <v>11</v>
      </c>
      <c r="CX105" s="16" t="inlineStr">
        <is>
          <t>8</t>
        </is>
      </c>
      <c r="CY105" s="16" t="inlineStr">
        <is>
          <t>Bajo</t>
        </is>
      </c>
    </row>
    <row r="106">
      <c r="A106" s="16" t="inlineStr">
        <is>
          <t>demo-105</t>
        </is>
      </c>
      <c r="B106" s="16" t="inlineStr">
        <is>
          <t>A1-0105</t>
        </is>
      </c>
      <c r="C106" s="16" t="inlineStr">
        <is>
          <t>105-31-4600</t>
        </is>
      </c>
      <c r="D106" s="16" t="n">
        <v>105</v>
      </c>
      <c r="E106" s="16" t="n">
        <v>31</v>
      </c>
      <c r="F106" s="16" t="inlineStr">
        <is>
          <t>4600</t>
        </is>
      </c>
      <c r="G106" s="17" t="n">
        <v>46289</v>
      </c>
      <c r="H106" s="16" t="inlineStr">
        <is>
          <t>13:08</t>
        </is>
      </c>
      <c r="J106" s="16" t="inlineStr">
        <is>
          <t>A</t>
        </is>
      </c>
      <c r="K106" s="16" t="inlineStr">
        <is>
          <t>1</t>
        </is>
      </c>
      <c r="L106" s="16" t="inlineStr">
        <is>
          <t>Encuestador A</t>
        </is>
      </c>
      <c r="M106" s="16" t="inlineStr">
        <is>
          <t>Puesto 1</t>
        </is>
      </c>
      <c r="N106" s="16" t="inlineStr">
        <is>
          <t>Sí</t>
        </is>
      </c>
      <c r="O106" s="16" t="inlineStr">
        <is>
          <t>Sí</t>
        </is>
      </c>
      <c r="P106" s="16" t="n">
        <v>39</v>
      </c>
      <c r="Q106" s="16" t="inlineStr">
        <is>
          <t>Sí</t>
        </is>
      </c>
      <c r="R106" s="16" t="inlineStr">
        <is>
          <t>No</t>
        </is>
      </c>
      <c r="S106" s="16" t="inlineStr">
        <is>
          <t>No</t>
        </is>
      </c>
      <c r="T106" s="16" t="inlineStr">
        <is>
          <t>finalizado</t>
        </is>
      </c>
      <c r="U106" s="16" t="inlineStr">
        <is>
          <t>2026-10-v2</t>
        </is>
      </c>
      <c r="V106" s="16" t="inlineStr">
        <is>
          <t>2026-09-24T15:00:00.000Z</t>
        </is>
      </c>
      <c r="W106" s="16" t="inlineStr">
        <is>
          <t>Chile</t>
        </is>
      </c>
      <c r="Y106" s="16" t="inlineStr">
        <is>
          <t>Universitario incompleto</t>
        </is>
      </c>
      <c r="Z106" s="16" t="inlineStr">
        <is>
          <t>Sí</t>
        </is>
      </c>
      <c r="AA106" s="16" t="inlineStr">
        <is>
          <t>1</t>
        </is>
      </c>
      <c r="AB106" s="16" t="inlineStr">
        <is>
          <t>5</t>
        </is>
      </c>
      <c r="AC106" s="16" t="inlineStr">
        <is>
          <t>Portugués; Guaraní</t>
        </is>
      </c>
      <c r="AE106" s="16" t="inlineStr">
        <is>
          <t>Español</t>
        </is>
      </c>
      <c r="AG106" s="16" t="inlineStr">
        <is>
          <t>Argentina</t>
        </is>
      </c>
      <c r="AI106" s="16" t="inlineStr">
        <is>
          <t>Regular</t>
        </is>
      </c>
      <c r="AJ106" s="16" t="n">
        <v>9</v>
      </c>
      <c r="AK106" s="16" t="inlineStr">
        <is>
          <t>Viaje internacional</t>
        </is>
      </c>
      <c r="AL106" s="16" t="inlineStr">
        <is>
          <t>Quincenalmente</t>
        </is>
      </c>
      <c r="AN106" s="16" t="inlineStr">
        <is>
          <t>2 veces por semana</t>
        </is>
      </c>
      <c r="AP106" s="16" t="inlineStr">
        <is>
          <t>Empleado</t>
        </is>
      </c>
      <c r="AR106" s="16" t="inlineStr">
        <is>
          <t>Disconforme</t>
        </is>
      </c>
      <c r="AS106" s="16" t="inlineStr">
        <is>
          <t>Sí</t>
        </is>
      </c>
      <c r="AT106" s="16" t="n">
        <v>8</v>
      </c>
      <c r="AU106" s="16" t="inlineStr">
        <is>
          <t>Sí</t>
        </is>
      </c>
      <c r="AV106" s="16" t="inlineStr">
        <is>
          <t>En el camión al costado de la ruta</t>
        </is>
      </c>
      <c r="AX106" s="16" t="n">
        <v>6.3</v>
      </c>
      <c r="AY106" s="16" t="inlineStr">
        <is>
          <t>Todos los días</t>
        </is>
      </c>
      <c r="AZ106" s="16" t="inlineStr">
        <is>
          <t>Café; Mate; Agua</t>
        </is>
      </c>
      <c r="BB106" s="16" t="inlineStr">
        <is>
          <t>Nunca</t>
        </is>
      </c>
      <c r="BC106" s="16" t="inlineStr">
        <is>
          <t>Sí</t>
        </is>
      </c>
      <c r="BD106" s="16" t="inlineStr">
        <is>
          <t>No</t>
        </is>
      </c>
      <c r="BE106" s="16" t="inlineStr">
        <is>
          <t>Sí</t>
        </is>
      </c>
      <c r="BF106" s="16" t="inlineStr">
        <is>
          <t>Obra social</t>
        </is>
      </c>
      <c r="BG106" s="16" t="inlineStr">
        <is>
          <t>Sistema público</t>
        </is>
      </c>
      <c r="BH106" s="16" t="inlineStr">
        <is>
          <t>Una vez al año</t>
        </is>
      </c>
      <c r="BI106" s="16" t="inlineStr">
        <is>
          <t>Sistema privado</t>
        </is>
      </c>
      <c r="BJ106" s="16" t="inlineStr">
        <is>
          <t>Sí</t>
        </is>
      </c>
      <c r="BK106" s="16" t="inlineStr">
        <is>
          <t>Rodillas</t>
        </is>
      </c>
      <c r="BL106" s="16" t="inlineStr">
        <is>
          <t>Medicamentos</t>
        </is>
      </c>
      <c r="BM106" s="16" t="inlineStr">
        <is>
          <t>Ibuprofeno</t>
        </is>
      </c>
      <c r="BN106" s="16" t="inlineStr">
        <is>
          <t>Musculoesqueléticos; Digestivas</t>
        </is>
      </c>
      <c r="BP106" s="16" t="inlineStr">
        <is>
          <t>Nunca</t>
        </is>
      </c>
      <c r="BQ106" s="16" t="inlineStr">
        <is>
          <t>Café; Coca-Cola</t>
        </is>
      </c>
      <c r="BS106" s="16" t="inlineStr">
        <is>
          <t>Sí</t>
        </is>
      </c>
      <c r="BT106" s="16" t="inlineStr">
        <is>
          <t>Sí</t>
        </is>
      </c>
      <c r="BU106" s="16" t="inlineStr">
        <is>
          <t>Nunca</t>
        </is>
      </c>
      <c r="BV106" s="16" t="inlineStr">
        <is>
          <t>No</t>
        </is>
      </c>
    </row>
    <row r="107">
      <c r="A107" s="16" t="inlineStr">
        <is>
          <t>demo-106</t>
        </is>
      </c>
      <c r="B107" s="16" t="inlineStr">
        <is>
          <t>C1-0106</t>
        </is>
      </c>
      <c r="C107" s="16" t="inlineStr">
        <is>
          <t>505-31-4630</t>
        </is>
      </c>
      <c r="D107" s="16" t="n">
        <v>505</v>
      </c>
      <c r="E107" s="16" t="n">
        <v>31</v>
      </c>
      <c r="F107" s="16" t="inlineStr">
        <is>
          <t>4630</t>
        </is>
      </c>
      <c r="G107" s="17" t="n">
        <v>46301</v>
      </c>
      <c r="H107" s="16" t="inlineStr">
        <is>
          <t>15:00</t>
        </is>
      </c>
      <c r="J107" s="16" t="inlineStr">
        <is>
          <t>C</t>
        </is>
      </c>
      <c r="K107" s="16" t="inlineStr">
        <is>
          <t>1</t>
        </is>
      </c>
      <c r="L107" s="16" t="inlineStr">
        <is>
          <t>Encuestador C</t>
        </is>
      </c>
      <c r="M107" s="16" t="inlineStr">
        <is>
          <t>Puesto 2</t>
        </is>
      </c>
      <c r="N107" s="16" t="inlineStr">
        <is>
          <t>Sí</t>
        </is>
      </c>
      <c r="O107" s="16" t="inlineStr">
        <is>
          <t>No</t>
        </is>
      </c>
      <c r="P107" s="16" t="n">
        <v>39</v>
      </c>
      <c r="Q107" s="16" t="inlineStr">
        <is>
          <t>Sí</t>
        </is>
      </c>
      <c r="R107" s="16" t="inlineStr">
        <is>
          <t>Sí</t>
        </is>
      </c>
      <c r="S107" s="16" t="inlineStr">
        <is>
          <t>No</t>
        </is>
      </c>
      <c r="T107" s="16" t="inlineStr">
        <is>
          <t>finalizado</t>
        </is>
      </c>
      <c r="U107" s="16" t="inlineStr">
        <is>
          <t>2026-10-v2</t>
        </is>
      </c>
      <c r="V107" s="16" t="inlineStr">
        <is>
          <t>2026-10-06T15:00:00.000Z</t>
        </is>
      </c>
      <c r="W107" s="16" t="inlineStr">
        <is>
          <t>Argentina</t>
        </is>
      </c>
      <c r="Y107" s="16" t="inlineStr">
        <is>
          <t>Secundaria completa</t>
        </is>
      </c>
      <c r="Z107" s="16" t="inlineStr">
        <is>
          <t>Sí</t>
        </is>
      </c>
      <c r="AA107" s="16" t="inlineStr">
        <is>
          <t>1</t>
        </is>
      </c>
      <c r="AB107" s="16" t="inlineStr">
        <is>
          <t>1</t>
        </is>
      </c>
      <c r="AC107" s="16" t="inlineStr">
        <is>
          <t>Guaraní</t>
        </is>
      </c>
      <c r="AE107" s="16" t="inlineStr">
        <is>
          <t>Español</t>
        </is>
      </c>
      <c r="AG107" s="16" t="inlineStr">
        <is>
          <t>Argentina</t>
        </is>
      </c>
      <c r="AI107" s="16" t="inlineStr">
        <is>
          <t>Bueno</t>
        </is>
      </c>
      <c r="AJ107" s="16" t="n">
        <v>4</v>
      </c>
      <c r="AK107" s="16" t="inlineStr">
        <is>
          <t>Viaje provincial (Jujuy)</t>
        </is>
      </c>
      <c r="AL107" s="16" t="inlineStr">
        <is>
          <t>Una vez a la semana</t>
        </is>
      </c>
      <c r="AN107" s="16" t="inlineStr">
        <is>
          <t>3 veces por semana</t>
        </is>
      </c>
      <c r="AP107" s="16" t="inlineStr">
        <is>
          <t>Dueño del camión</t>
        </is>
      </c>
      <c r="AR107" s="16" t="inlineStr">
        <is>
          <t>Parcialmente conforme</t>
        </is>
      </c>
      <c r="AS107" s="16" t="inlineStr">
        <is>
          <t>No</t>
        </is>
      </c>
      <c r="AT107" s="16" t="n">
        <v>3.7</v>
      </c>
      <c r="AU107" s="16" t="inlineStr">
        <is>
          <t>Sí</t>
        </is>
      </c>
      <c r="AV107" s="16" t="inlineStr">
        <is>
          <t>Estaciones de servicio; Paradores</t>
        </is>
      </c>
      <c r="AX107" s="16" t="n">
        <v>7.6</v>
      </c>
      <c r="AY107" s="16" t="inlineStr">
        <is>
          <t>Todos los días</t>
        </is>
      </c>
      <c r="AZ107" s="16" t="inlineStr">
        <is>
          <t>Agua; Gaseosas</t>
        </is>
      </c>
      <c r="BB107" s="16" t="inlineStr">
        <is>
          <t>Nunca</t>
        </is>
      </c>
      <c r="BC107" s="16" t="inlineStr">
        <is>
          <t>Sí</t>
        </is>
      </c>
      <c r="BD107" s="16" t="inlineStr">
        <is>
          <t>Sí</t>
        </is>
      </c>
      <c r="BE107" s="16" t="inlineStr">
        <is>
          <t>Sí</t>
        </is>
      </c>
      <c r="BF107" s="16" t="inlineStr">
        <is>
          <t>Ninguna</t>
        </is>
      </c>
      <c r="BG107" s="16" t="inlineStr">
        <is>
          <t>Sistema público</t>
        </is>
      </c>
      <c r="BH107" s="16" t="inlineStr">
        <is>
          <t>Nunca</t>
        </is>
      </c>
      <c r="BI107" s="16" t="inlineStr">
        <is>
          <t>Sistema público; Otros (medicina tradicional, alternativa, etc.)</t>
        </is>
      </c>
      <c r="BJ107" s="16" t="inlineStr">
        <is>
          <t>No</t>
        </is>
      </c>
      <c r="BL107" s="16" t="inlineStr">
        <is>
          <t>Medicamentos</t>
        </is>
      </c>
      <c r="BM107" s="16" t="inlineStr">
        <is>
          <t>Ibuprofeno</t>
        </is>
      </c>
      <c r="BN107" s="16" t="inlineStr">
        <is>
          <t>Musculoesqueléticos</t>
        </is>
      </c>
      <c r="BP107" s="16" t="inlineStr">
        <is>
          <t>2 a 3 veces por semana</t>
        </is>
      </c>
      <c r="BQ107" s="16" t="inlineStr">
        <is>
          <t>Café; Coca-Cola</t>
        </is>
      </c>
      <c r="BS107" s="16" t="inlineStr">
        <is>
          <t>No</t>
        </is>
      </c>
      <c r="BT107" s="16" t="inlineStr">
        <is>
          <t>No</t>
        </is>
      </c>
      <c r="BU107" s="16" t="inlineStr">
        <is>
          <t>Nunca</t>
        </is>
      </c>
      <c r="BV107" s="16" t="inlineStr">
        <is>
          <t>No</t>
        </is>
      </c>
      <c r="BW107" s="16" t="inlineStr">
        <is>
          <t>No</t>
        </is>
      </c>
      <c r="BX107" s="16" t="inlineStr">
        <is>
          <t>Varón</t>
        </is>
      </c>
      <c r="BY107" s="16" t="n">
        <v>90.09999999999999</v>
      </c>
      <c r="BZ107" s="16" t="n">
        <v>1.67</v>
      </c>
      <c r="CA107" s="16" t="n">
        <v>32.3</v>
      </c>
      <c r="CB107" s="16" t="n">
        <v>89</v>
      </c>
      <c r="CC107" s="16" t="n">
        <v>140</v>
      </c>
      <c r="CD107" s="16" t="n">
        <v>89</v>
      </c>
      <c r="CE107" s="16" t="inlineStr">
        <is>
          <t>No</t>
        </is>
      </c>
      <c r="CF107" s="16" t="inlineStr">
        <is>
          <t>No</t>
        </is>
      </c>
      <c r="CG107" s="16" t="inlineStr">
        <is>
          <t>No</t>
        </is>
      </c>
      <c r="CH107" s="16" t="inlineStr">
        <is>
          <t>No</t>
        </is>
      </c>
      <c r="CI107" s="16" t="inlineStr">
        <is>
          <t>No</t>
        </is>
      </c>
      <c r="CJ107" s="16" t="inlineStr">
        <is>
          <t>No</t>
        </is>
      </c>
      <c r="CK107" s="16" t="inlineStr">
        <is>
          <t>Sí</t>
        </is>
      </c>
      <c r="CL107" s="16" t="inlineStr">
        <is>
          <t>No</t>
        </is>
      </c>
      <c r="CR107" s="16" t="inlineStr">
        <is>
          <t>Sí</t>
        </is>
      </c>
      <c r="CS107" s="16" t="n">
        <v>6</v>
      </c>
      <c r="CT107" s="16" t="inlineStr">
        <is>
          <t>Bajo</t>
        </is>
      </c>
      <c r="CU107" s="16" t="inlineStr">
        <is>
          <t>1 %</t>
        </is>
      </c>
      <c r="CV107" s="16" t="inlineStr">
        <is>
          <t>Sí</t>
        </is>
      </c>
      <c r="CW107" s="16" t="n">
        <v>3</v>
      </c>
      <c r="CX107" s="16" t="inlineStr">
        <is>
          <t>1</t>
        </is>
      </c>
      <c r="CY107" s="16" t="inlineStr">
        <is>
          <t>Bajo</t>
        </is>
      </c>
    </row>
    <row r="108">
      <c r="A108" s="16" t="inlineStr">
        <is>
          <t>demo-107</t>
        </is>
      </c>
      <c r="B108" s="16" t="inlineStr">
        <is>
          <t>A1-0107</t>
        </is>
      </c>
      <c r="C108" s="16" t="inlineStr">
        <is>
          <t>107-63-4500</t>
        </is>
      </c>
      <c r="D108" s="16" t="n">
        <v>107</v>
      </c>
      <c r="E108" s="16" t="n">
        <v>63</v>
      </c>
      <c r="F108" s="16" t="inlineStr">
        <is>
          <t>4500</t>
        </is>
      </c>
      <c r="G108" s="17" t="n">
        <v>46296</v>
      </c>
      <c r="H108" s="16" t="inlineStr">
        <is>
          <t>14:03</t>
        </is>
      </c>
      <c r="J108" s="16" t="inlineStr">
        <is>
          <t>A</t>
        </is>
      </c>
      <c r="K108" s="16" t="inlineStr">
        <is>
          <t>1</t>
        </is>
      </c>
      <c r="L108" s="16" t="inlineStr">
        <is>
          <t>Encuestador A</t>
        </is>
      </c>
      <c r="M108" s="16" t="inlineStr">
        <is>
          <t>Puesto 2</t>
        </is>
      </c>
      <c r="N108" s="16" t="inlineStr">
        <is>
          <t>Sí</t>
        </is>
      </c>
      <c r="O108" s="16" t="inlineStr">
        <is>
          <t>Sí</t>
        </is>
      </c>
      <c r="P108" s="16" t="n">
        <v>39</v>
      </c>
      <c r="Q108" s="16" t="inlineStr">
        <is>
          <t>Sí</t>
        </is>
      </c>
      <c r="R108" s="16" t="inlineStr">
        <is>
          <t>Sí</t>
        </is>
      </c>
      <c r="S108" s="16" t="inlineStr">
        <is>
          <t>Sí</t>
        </is>
      </c>
      <c r="T108" s="16" t="inlineStr">
        <is>
          <t>finalizado</t>
        </is>
      </c>
      <c r="U108" s="16" t="inlineStr">
        <is>
          <t>2026-10-v2</t>
        </is>
      </c>
      <c r="V108" s="16" t="inlineStr">
        <is>
          <t>2026-10-01T15:00:00.000Z</t>
        </is>
      </c>
      <c r="W108" s="16" t="inlineStr">
        <is>
          <t>Argentina</t>
        </is>
      </c>
      <c r="Y108" s="16" t="inlineStr">
        <is>
          <t>Secundaria incompleta</t>
        </is>
      </c>
      <c r="Z108" s="16" t="inlineStr">
        <is>
          <t>Sí</t>
        </is>
      </c>
      <c r="AA108" s="16" t="inlineStr">
        <is>
          <t>4</t>
        </is>
      </c>
      <c r="AB108" s="16" t="inlineStr">
        <is>
          <t>2</t>
        </is>
      </c>
      <c r="AC108" s="16" t="inlineStr">
        <is>
          <t>Inglés</t>
        </is>
      </c>
      <c r="AE108" s="16" t="inlineStr">
        <is>
          <t>Español</t>
        </is>
      </c>
      <c r="AG108" s="16" t="inlineStr">
        <is>
          <t>Argentina</t>
        </is>
      </c>
      <c r="AI108" s="16" t="inlineStr">
        <is>
          <t>Regular</t>
        </is>
      </c>
      <c r="AJ108" s="16" t="n">
        <v>12</v>
      </c>
      <c r="AK108" s="16" t="inlineStr">
        <is>
          <t>Viaje interprovincial</t>
        </is>
      </c>
      <c r="AL108" s="16" t="inlineStr">
        <is>
          <t>2 veces por semana</t>
        </is>
      </c>
      <c r="AN108" s="16" t="inlineStr">
        <is>
          <t>Una vez a la semana</t>
        </is>
      </c>
      <c r="AP108" s="16" t="inlineStr">
        <is>
          <t>Empleado</t>
        </is>
      </c>
      <c r="AR108" s="16" t="inlineStr">
        <is>
          <t>Conforme</t>
        </is>
      </c>
      <c r="AS108" s="16" t="inlineStr">
        <is>
          <t>Sí</t>
        </is>
      </c>
      <c r="AT108" s="16" t="n">
        <v>2.9</v>
      </c>
      <c r="AU108" s="16" t="inlineStr">
        <is>
          <t>Sí</t>
        </is>
      </c>
      <c r="AV108" s="16" t="inlineStr">
        <is>
          <t>En el camión al costado de la ruta</t>
        </is>
      </c>
      <c r="AX108" s="16" t="n">
        <v>6</v>
      </c>
      <c r="AY108" s="16" t="inlineStr">
        <is>
          <t>Casi nunca</t>
        </is>
      </c>
      <c r="AZ108" s="16" t="inlineStr">
        <is>
          <t>Gaseosas</t>
        </is>
      </c>
      <c r="BB108" s="16" t="inlineStr">
        <is>
          <t>Nunca</t>
        </is>
      </c>
      <c r="BC108" s="16" t="inlineStr">
        <is>
          <t>Sí</t>
        </is>
      </c>
      <c r="BD108" s="16" t="inlineStr">
        <is>
          <t>No</t>
        </is>
      </c>
      <c r="BE108" s="16" t="inlineStr">
        <is>
          <t>Sí</t>
        </is>
      </c>
      <c r="BF108" s="16" t="inlineStr">
        <is>
          <t>Obra social</t>
        </is>
      </c>
      <c r="BG108" s="16" t="inlineStr">
        <is>
          <t>Sistema público</t>
        </is>
      </c>
      <c r="BH108" s="16" t="inlineStr">
        <is>
          <t>Una vez al año</t>
        </is>
      </c>
      <c r="BI108" s="16" t="inlineStr">
        <is>
          <t>Sistema privado</t>
        </is>
      </c>
      <c r="BJ108" s="16" t="inlineStr">
        <is>
          <t>No</t>
        </is>
      </c>
      <c r="BL108" s="16" t="inlineStr">
        <is>
          <t>Medicamentos</t>
        </is>
      </c>
      <c r="BM108" s="16" t="inlineStr">
        <is>
          <t>Ibuprofeno</t>
        </is>
      </c>
      <c r="BN108" s="16" t="inlineStr">
        <is>
          <t>No tengo diagnóstico de enfermedad</t>
        </is>
      </c>
      <c r="BP108" s="16" t="inlineStr">
        <is>
          <t>Rara vez</t>
        </is>
      </c>
      <c r="BQ108" s="16" t="inlineStr">
        <is>
          <t>Energizantes (Speed, Monster, Red Bull, etc.)</t>
        </is>
      </c>
      <c r="BS108" s="16" t="inlineStr">
        <is>
          <t>No</t>
        </is>
      </c>
      <c r="BT108" s="16" t="inlineStr">
        <is>
          <t>Sí</t>
        </is>
      </c>
      <c r="BU108" s="16" t="inlineStr">
        <is>
          <t>A veces</t>
        </is>
      </c>
      <c r="BV108" s="16" t="inlineStr">
        <is>
          <t>No</t>
        </is>
      </c>
      <c r="BW108" s="16" t="inlineStr">
        <is>
          <t>No</t>
        </is>
      </c>
      <c r="BX108" s="16" t="inlineStr">
        <is>
          <t>Varón</t>
        </is>
      </c>
      <c r="BY108" s="16" t="n">
        <v>83.3</v>
      </c>
      <c r="BZ108" s="16" t="n">
        <v>1.8</v>
      </c>
      <c r="CA108" s="16" t="n">
        <v>25.7</v>
      </c>
      <c r="CB108" s="16" t="n">
        <v>97</v>
      </c>
      <c r="CC108" s="16" t="n">
        <v>160</v>
      </c>
      <c r="CD108" s="16" t="n">
        <v>101</v>
      </c>
      <c r="CE108" s="16" t="inlineStr">
        <is>
          <t>No</t>
        </is>
      </c>
      <c r="CF108" s="16" t="inlineStr">
        <is>
          <t>Sí</t>
        </is>
      </c>
      <c r="CG108" s="16" t="inlineStr">
        <is>
          <t>No</t>
        </is>
      </c>
      <c r="CH108" s="16" t="inlineStr">
        <is>
          <t>Sí</t>
        </is>
      </c>
      <c r="CI108" s="16" t="inlineStr">
        <is>
          <t>No</t>
        </is>
      </c>
      <c r="CJ108" s="16" t="inlineStr">
        <is>
          <t>No</t>
        </is>
      </c>
      <c r="CK108" s="16" t="inlineStr">
        <is>
          <t>No</t>
        </is>
      </c>
      <c r="CL108" s="16" t="inlineStr">
        <is>
          <t>Sí</t>
        </is>
      </c>
      <c r="CM108" s="16" t="inlineStr">
        <is>
          <t>07:28</t>
        </is>
      </c>
      <c r="CN108" s="16" t="inlineStr">
        <is>
          <t>Mate</t>
        </is>
      </c>
      <c r="CO108" s="16" t="inlineStr">
        <is>
          <t>12:30</t>
        </is>
      </c>
      <c r="CP108" s="16" t="n">
        <v>84</v>
      </c>
      <c r="CQ108" s="16" t="n">
        <v>302</v>
      </c>
      <c r="CR108" s="16" t="inlineStr">
        <is>
          <t>Sí</t>
        </is>
      </c>
      <c r="CS108" s="16" t="n">
        <v>11</v>
      </c>
      <c r="CT108" s="16" t="inlineStr">
        <is>
          <t>Ligeramente elevado</t>
        </is>
      </c>
      <c r="CU108" s="16" t="inlineStr">
        <is>
          <t>4 %</t>
        </is>
      </c>
      <c r="CV108" s="16" t="inlineStr">
        <is>
          <t>Sí</t>
        </is>
      </c>
      <c r="CW108" s="16" t="n">
        <v>14</v>
      </c>
      <c r="CX108" s="16" t="inlineStr">
        <is>
          <t>16</t>
        </is>
      </c>
      <c r="CY108" s="16" t="inlineStr">
        <is>
          <t>Moderado</t>
        </is>
      </c>
    </row>
    <row r="109">
      <c r="A109" s="16" t="inlineStr">
        <is>
          <t>demo-108</t>
        </is>
      </c>
      <c r="B109" s="16" t="inlineStr">
        <is>
          <t>C1-0108</t>
        </is>
      </c>
      <c r="C109" s="16" t="inlineStr">
        <is>
          <t>507-28-4500</t>
        </is>
      </c>
      <c r="D109" s="16" t="n">
        <v>507</v>
      </c>
      <c r="E109" s="16" t="n">
        <v>28</v>
      </c>
      <c r="F109" s="16" t="inlineStr">
        <is>
          <t>4500</t>
        </is>
      </c>
      <c r="G109" s="17" t="n">
        <v>46290</v>
      </c>
      <c r="H109" s="16" t="inlineStr">
        <is>
          <t>11:06</t>
        </is>
      </c>
      <c r="J109" s="16" t="inlineStr">
        <is>
          <t>C</t>
        </is>
      </c>
      <c r="K109" s="16" t="inlineStr">
        <is>
          <t>1</t>
        </is>
      </c>
      <c r="L109" s="16" t="inlineStr">
        <is>
          <t>Encuestador C</t>
        </is>
      </c>
      <c r="M109" s="16" t="inlineStr">
        <is>
          <t>Puesto 1</t>
        </is>
      </c>
      <c r="N109" s="16" t="inlineStr">
        <is>
          <t>Sí</t>
        </is>
      </c>
      <c r="O109" s="16" t="inlineStr">
        <is>
          <t>Sí</t>
        </is>
      </c>
      <c r="P109" s="16" t="n">
        <v>38</v>
      </c>
      <c r="Q109" s="16" t="inlineStr">
        <is>
          <t>Sí</t>
        </is>
      </c>
      <c r="R109" s="16" t="inlineStr">
        <is>
          <t>Sí</t>
        </is>
      </c>
      <c r="S109" s="16" t="inlineStr">
        <is>
          <t>Sí</t>
        </is>
      </c>
      <c r="T109" s="16" t="inlineStr">
        <is>
          <t>finalizado</t>
        </is>
      </c>
      <c r="U109" s="16" t="inlineStr">
        <is>
          <t>2026-10-v2</t>
        </is>
      </c>
      <c r="V109" s="16" t="inlineStr">
        <is>
          <t>2026-09-25T15:00:00.000Z</t>
        </is>
      </c>
      <c r="W109" s="16" t="inlineStr">
        <is>
          <t>Chile</t>
        </is>
      </c>
      <c r="Y109" s="16" t="inlineStr">
        <is>
          <t>Secundaria completa</t>
        </is>
      </c>
      <c r="Z109" s="16" t="inlineStr">
        <is>
          <t>Sí</t>
        </is>
      </c>
      <c r="AA109" s="16" t="inlineStr">
        <is>
          <t>1</t>
        </is>
      </c>
      <c r="AB109" s="16" t="inlineStr">
        <is>
          <t>3</t>
        </is>
      </c>
      <c r="AC109" s="16" t="inlineStr">
        <is>
          <t>Guaraní</t>
        </is>
      </c>
      <c r="AE109" s="16" t="inlineStr">
        <is>
          <t>Español</t>
        </is>
      </c>
      <c r="AG109" s="16" t="inlineStr">
        <is>
          <t>Argentina</t>
        </is>
      </c>
      <c r="AI109" s="16" t="inlineStr">
        <is>
          <t>Regular</t>
        </is>
      </c>
      <c r="AJ109" s="16" t="n">
        <v>6</v>
      </c>
      <c r="AK109" s="16" t="inlineStr">
        <is>
          <t>Viaje internacional</t>
        </is>
      </c>
      <c r="AL109" s="16" t="inlineStr">
        <is>
          <t>Quincenalmente</t>
        </is>
      </c>
      <c r="AN109" s="16" t="inlineStr">
        <is>
          <t>2 veces por semana</t>
        </is>
      </c>
      <c r="AP109" s="16" t="inlineStr">
        <is>
          <t>Empleado</t>
        </is>
      </c>
      <c r="AR109" s="16" t="inlineStr">
        <is>
          <t>Disconforme</t>
        </is>
      </c>
      <c r="AS109" s="16" t="inlineStr">
        <is>
          <t>No</t>
        </is>
      </c>
      <c r="AT109" s="16" t="n">
        <v>8.6</v>
      </c>
      <c r="AU109" s="16" t="inlineStr">
        <is>
          <t>Sí</t>
        </is>
      </c>
      <c r="AV109" s="16" t="inlineStr">
        <is>
          <t>En el camión al costado de la ruta</t>
        </is>
      </c>
      <c r="AX109" s="16" t="n">
        <v>7.2</v>
      </c>
      <c r="AY109" s="16" t="inlineStr">
        <is>
          <t>Casi nunca</t>
        </is>
      </c>
      <c r="AZ109" s="16" t="inlineStr">
        <is>
          <t>Café; Agua; Jugos artificiales</t>
        </is>
      </c>
      <c r="BB109" s="16" t="inlineStr">
        <is>
          <t>A veces</t>
        </is>
      </c>
      <c r="BC109" s="16" t="inlineStr">
        <is>
          <t>No</t>
        </is>
      </c>
      <c r="BD109" s="16" t="inlineStr">
        <is>
          <t>Sí</t>
        </is>
      </c>
      <c r="BE109" s="16" t="inlineStr">
        <is>
          <t>No</t>
        </is>
      </c>
      <c r="BF109" s="16" t="inlineStr">
        <is>
          <t>Ninguna</t>
        </is>
      </c>
      <c r="BG109" s="16" t="inlineStr">
        <is>
          <t>Sistema público</t>
        </is>
      </c>
      <c r="BH109" s="16" t="inlineStr">
        <is>
          <t>Nunca</t>
        </is>
      </c>
      <c r="BI109" s="16" t="inlineStr">
        <is>
          <t>Sistema público; Otros (medicina tradicional, alternativa, etc.)</t>
        </is>
      </c>
      <c r="BJ109" s="16" t="inlineStr">
        <is>
          <t>No</t>
        </is>
      </c>
      <c r="BL109" s="16" t="inlineStr">
        <is>
          <t>Ninguno</t>
        </is>
      </c>
      <c r="BN109" s="16" t="inlineStr">
        <is>
          <t>Musculoesqueléticos; Digestivas</t>
        </is>
      </c>
      <c r="BP109" s="16" t="inlineStr">
        <is>
          <t>2 a 3 veces por semana</t>
        </is>
      </c>
      <c r="BQ109" s="16" t="inlineStr">
        <is>
          <t>Energizantes (Speed, Monster, Red Bull, etc.)</t>
        </is>
      </c>
      <c r="BS109" s="16" t="inlineStr">
        <is>
          <t>Sí</t>
        </is>
      </c>
      <c r="BT109" s="16" t="inlineStr">
        <is>
          <t>No</t>
        </is>
      </c>
      <c r="BU109" s="16" t="inlineStr">
        <is>
          <t>Nunca</t>
        </is>
      </c>
      <c r="BV109" s="16" t="inlineStr">
        <is>
          <t>No</t>
        </is>
      </c>
      <c r="BW109" s="16" t="inlineStr">
        <is>
          <t>No</t>
        </is>
      </c>
      <c r="BX109" s="16" t="inlineStr">
        <is>
          <t>Otro</t>
        </is>
      </c>
      <c r="BY109" s="16" t="n">
        <v>114.3</v>
      </c>
      <c r="BZ109" s="16" t="n">
        <v>1.87</v>
      </c>
      <c r="CA109" s="16" t="n">
        <v>32.7</v>
      </c>
      <c r="CB109" s="16" t="n">
        <v>97</v>
      </c>
      <c r="CC109" s="16" t="n">
        <v>141</v>
      </c>
      <c r="CD109" s="16" t="n">
        <v>89</v>
      </c>
      <c r="CE109" s="16" t="inlineStr">
        <is>
          <t>No</t>
        </is>
      </c>
      <c r="CF109" s="16" t="inlineStr">
        <is>
          <t>No</t>
        </is>
      </c>
      <c r="CG109" s="16" t="inlineStr">
        <is>
          <t>No</t>
        </is>
      </c>
      <c r="CH109" s="16" t="inlineStr">
        <is>
          <t>Sí</t>
        </is>
      </c>
      <c r="CI109" s="16" t="inlineStr">
        <is>
          <t>No</t>
        </is>
      </c>
      <c r="CJ109" s="16" t="inlineStr">
        <is>
          <t>No</t>
        </is>
      </c>
      <c r="CK109" s="16" t="inlineStr">
        <is>
          <t>Sí</t>
        </is>
      </c>
      <c r="CL109" s="16" t="inlineStr">
        <is>
          <t>Sí</t>
        </is>
      </c>
      <c r="CM109" s="16" t="inlineStr">
        <is>
          <t>07:33</t>
        </is>
      </c>
      <c r="CN109" s="16" t="inlineStr">
        <is>
          <t>Mate</t>
        </is>
      </c>
      <c r="CO109" s="16" t="inlineStr">
        <is>
          <t>11:30</t>
        </is>
      </c>
      <c r="CP109" s="16" t="n">
        <v>169</v>
      </c>
      <c r="CQ109" s="16" t="n">
        <v>237</v>
      </c>
      <c r="CR109" s="16" t="inlineStr">
        <is>
          <t>No</t>
        </is>
      </c>
      <c r="CV109" s="16" t="inlineStr">
        <is>
          <t>No</t>
        </is>
      </c>
    </row>
    <row r="110">
      <c r="A110" s="16" t="inlineStr">
        <is>
          <t>demo-109</t>
        </is>
      </c>
      <c r="B110" s="16" t="inlineStr">
        <is>
          <t>A1-0109</t>
        </is>
      </c>
      <c r="C110" s="16" t="inlineStr">
        <is>
          <t>109-41-4612</t>
        </is>
      </c>
      <c r="D110" s="16" t="n">
        <v>109</v>
      </c>
      <c r="E110" s="16" t="n">
        <v>41</v>
      </c>
      <c r="F110" s="16" t="inlineStr">
        <is>
          <t>4612</t>
        </is>
      </c>
      <c r="G110" s="17" t="n">
        <v>46290</v>
      </c>
      <c r="H110" s="16" t="inlineStr">
        <is>
          <t>15:03</t>
        </is>
      </c>
      <c r="J110" s="16" t="inlineStr">
        <is>
          <t>A</t>
        </is>
      </c>
      <c r="K110" s="16" t="inlineStr">
        <is>
          <t>1</t>
        </is>
      </c>
      <c r="L110" s="16" t="inlineStr">
        <is>
          <t>Encuestador A</t>
        </is>
      </c>
      <c r="M110" s="16" t="inlineStr">
        <is>
          <t>Puesto 2</t>
        </is>
      </c>
      <c r="N110" s="16" t="inlineStr">
        <is>
          <t>Sí</t>
        </is>
      </c>
      <c r="O110" s="16" t="inlineStr">
        <is>
          <t>Sí</t>
        </is>
      </c>
      <c r="P110" s="16" t="n">
        <v>38</v>
      </c>
      <c r="Q110" s="16" t="inlineStr">
        <is>
          <t>Sí</t>
        </is>
      </c>
      <c r="R110" s="16" t="inlineStr">
        <is>
          <t>Sí</t>
        </is>
      </c>
      <c r="S110" s="16" t="inlineStr">
        <is>
          <t>No</t>
        </is>
      </c>
      <c r="T110" s="16" t="inlineStr">
        <is>
          <t>finalizado</t>
        </is>
      </c>
      <c r="U110" s="16" t="inlineStr">
        <is>
          <t>2026-10-v2</t>
        </is>
      </c>
      <c r="V110" s="16" t="inlineStr">
        <is>
          <t>2026-09-25T15:00:00.000Z</t>
        </is>
      </c>
      <c r="W110" s="16" t="inlineStr">
        <is>
          <t>Argentina</t>
        </is>
      </c>
      <c r="Y110" s="16" t="inlineStr">
        <is>
          <t>Secundaria completa</t>
        </is>
      </c>
      <c r="Z110" s="16" t="inlineStr">
        <is>
          <t>Sí</t>
        </is>
      </c>
      <c r="AA110" s="16" t="inlineStr">
        <is>
          <t>4</t>
        </is>
      </c>
      <c r="AB110" s="16" t="inlineStr">
        <is>
          <t>3</t>
        </is>
      </c>
      <c r="AC110" s="16" t="inlineStr">
        <is>
          <t>Inglés; Español</t>
        </is>
      </c>
      <c r="AE110" s="16" t="inlineStr">
        <is>
          <t>Español</t>
        </is>
      </c>
      <c r="AG110" s="16" t="inlineStr">
        <is>
          <t>Argentina</t>
        </is>
      </c>
      <c r="AI110" s="16" t="inlineStr">
        <is>
          <t>Bueno</t>
        </is>
      </c>
      <c r="AJ110" s="16" t="n">
        <v>17</v>
      </c>
      <c r="AK110" s="16" t="inlineStr">
        <is>
          <t>Viaje provincial (Jujuy)</t>
        </is>
      </c>
      <c r="AL110" s="16" t="inlineStr">
        <is>
          <t>2 veces por semana</t>
        </is>
      </c>
      <c r="AN110" s="16" t="inlineStr">
        <is>
          <t>Una vez a la semana</t>
        </is>
      </c>
      <c r="AP110" s="16" t="inlineStr">
        <is>
          <t>Empleado</t>
        </is>
      </c>
      <c r="AR110" s="16" t="inlineStr">
        <is>
          <t>Parcialmente conforme</t>
        </is>
      </c>
      <c r="AS110" s="16" t="inlineStr">
        <is>
          <t>Sí</t>
        </is>
      </c>
      <c r="AT110" s="16" t="n">
        <v>8.699999999999999</v>
      </c>
      <c r="AU110" s="16" t="inlineStr">
        <is>
          <t>Sí</t>
        </is>
      </c>
      <c r="AV110" s="16" t="inlineStr">
        <is>
          <t>Estaciones de servicio; En el camión al costado de la ruta</t>
        </is>
      </c>
      <c r="AX110" s="16" t="n">
        <v>5.8</v>
      </c>
      <c r="AY110" s="16" t="inlineStr">
        <is>
          <t>Varias veces por semana</t>
        </is>
      </c>
      <c r="AZ110" s="16" t="inlineStr">
        <is>
          <t>Jugos artificiales; Agua; Gaseosas</t>
        </is>
      </c>
      <c r="BB110" s="16" t="inlineStr">
        <is>
          <t>Nunca</t>
        </is>
      </c>
      <c r="BC110" s="16" t="inlineStr">
        <is>
          <t>No</t>
        </is>
      </c>
      <c r="BD110" s="16" t="inlineStr">
        <is>
          <t>No</t>
        </is>
      </c>
      <c r="BE110" s="16" t="inlineStr">
        <is>
          <t>Parcialmente</t>
        </is>
      </c>
      <c r="BF110" s="16" t="inlineStr">
        <is>
          <t>Obra social</t>
        </is>
      </c>
      <c r="BG110" s="16" t="inlineStr">
        <is>
          <t>Sistema público</t>
        </is>
      </c>
      <c r="BH110" s="16" t="inlineStr">
        <is>
          <t>Nunca</t>
        </is>
      </c>
      <c r="BI110" s="16" t="inlineStr">
        <is>
          <t>Sistema público; Otros (medicina tradicional, alternativa, etc.)</t>
        </is>
      </c>
      <c r="BJ110" s="16" t="inlineStr">
        <is>
          <t>No</t>
        </is>
      </c>
      <c r="BL110" s="16" t="inlineStr">
        <is>
          <t>Ninguno</t>
        </is>
      </c>
      <c r="BN110" s="16" t="inlineStr">
        <is>
          <t>No tengo diagnóstico de enfermedad</t>
        </is>
      </c>
      <c r="BP110" s="16" t="inlineStr">
        <is>
          <t>Nunca</t>
        </is>
      </c>
      <c r="BQ110" s="16" t="inlineStr">
        <is>
          <t>Café</t>
        </is>
      </c>
      <c r="BS110" s="16" t="inlineStr">
        <is>
          <t>No</t>
        </is>
      </c>
      <c r="BT110" s="16" t="inlineStr">
        <is>
          <t>Sí</t>
        </is>
      </c>
      <c r="BU110" s="16" t="inlineStr">
        <is>
          <t>Nunca</t>
        </is>
      </c>
      <c r="BV110" s="16" t="inlineStr">
        <is>
          <t>Sí</t>
        </is>
      </c>
      <c r="BW110" s="16" t="inlineStr">
        <is>
          <t>No</t>
        </is>
      </c>
      <c r="BX110" s="16" t="inlineStr">
        <is>
          <t>Varón</t>
        </is>
      </c>
      <c r="BY110" s="16" t="n">
        <v>88</v>
      </c>
      <c r="BZ110" s="16" t="n">
        <v>1.69</v>
      </c>
      <c r="CA110" s="16" t="n">
        <v>30.8</v>
      </c>
      <c r="CB110" s="16" t="n">
        <v>110</v>
      </c>
      <c r="CC110" s="16" t="n">
        <v>152</v>
      </c>
      <c r="CD110" s="16" t="n">
        <v>96</v>
      </c>
      <c r="CE110" s="16" t="inlineStr">
        <is>
          <t>No</t>
        </is>
      </c>
      <c r="CF110" s="16" t="inlineStr">
        <is>
          <t>No</t>
        </is>
      </c>
      <c r="CG110" s="16" t="inlineStr">
        <is>
          <t>No</t>
        </is>
      </c>
      <c r="CH110" s="16" t="inlineStr">
        <is>
          <t>No</t>
        </is>
      </c>
      <c r="CI110" s="16" t="inlineStr">
        <is>
          <t>No</t>
        </is>
      </c>
      <c r="CJ110" s="16" t="inlineStr">
        <is>
          <t>Sí, parientes lejanos</t>
        </is>
      </c>
      <c r="CK110" s="16" t="inlineStr">
        <is>
          <t>No</t>
        </is>
      </c>
      <c r="CL110" s="16" t="inlineStr">
        <is>
          <t>No</t>
        </is>
      </c>
      <c r="CR110" s="16" t="inlineStr">
        <is>
          <t>Sí</t>
        </is>
      </c>
      <c r="CS110" s="16" t="n">
        <v>13</v>
      </c>
      <c r="CT110" s="16" t="inlineStr">
        <is>
          <t>Moderado</t>
        </is>
      </c>
      <c r="CU110" s="16" t="inlineStr">
        <is>
          <t>17 %</t>
        </is>
      </c>
      <c r="CV110" s="16" t="inlineStr">
        <is>
          <t>Sí</t>
        </is>
      </c>
      <c r="CW110" s="16" t="n">
        <v>3</v>
      </c>
      <c r="CX110" s="16" t="inlineStr">
        <is>
          <t>1</t>
        </is>
      </c>
      <c r="CY110" s="16" t="inlineStr">
        <is>
          <t>Bajo</t>
        </is>
      </c>
    </row>
    <row r="111">
      <c r="A111" s="16" t="inlineStr">
        <is>
          <t>demo-110</t>
        </is>
      </c>
      <c r="B111" s="16" t="inlineStr">
        <is>
          <t>A1-0110</t>
        </is>
      </c>
      <c r="C111" s="16" t="inlineStr">
        <is>
          <t>110-49-4500</t>
        </is>
      </c>
      <c r="D111" s="16" t="n">
        <v>110</v>
      </c>
      <c r="E111" s="16" t="n">
        <v>49</v>
      </c>
      <c r="F111" s="16" t="inlineStr">
        <is>
          <t>4500</t>
        </is>
      </c>
      <c r="G111" s="17" t="n">
        <v>46289</v>
      </c>
      <c r="H111" s="16" t="inlineStr">
        <is>
          <t>16:05</t>
        </is>
      </c>
      <c r="J111" s="16" t="inlineStr">
        <is>
          <t>A</t>
        </is>
      </c>
      <c r="K111" s="16" t="inlineStr">
        <is>
          <t>1</t>
        </is>
      </c>
      <c r="L111" s="16" t="inlineStr">
        <is>
          <t>Encuestador A</t>
        </is>
      </c>
      <c r="M111" s="16" t="inlineStr">
        <is>
          <t>Puesto 2</t>
        </is>
      </c>
      <c r="N111" s="16" t="inlineStr">
        <is>
          <t>Sí</t>
        </is>
      </c>
      <c r="O111" s="16" t="inlineStr">
        <is>
          <t>Sí</t>
        </is>
      </c>
      <c r="P111" s="16" t="n">
        <v>39</v>
      </c>
      <c r="Q111" s="16" t="inlineStr">
        <is>
          <t>Sí</t>
        </is>
      </c>
      <c r="R111" s="16" t="inlineStr">
        <is>
          <t>Sí</t>
        </is>
      </c>
      <c r="S111" s="16" t="inlineStr">
        <is>
          <t>Sí</t>
        </is>
      </c>
      <c r="T111" s="16" t="inlineStr">
        <is>
          <t>finalizado</t>
        </is>
      </c>
      <c r="U111" s="16" t="inlineStr">
        <is>
          <t>2026-10-v2</t>
        </is>
      </c>
      <c r="V111" s="16" t="inlineStr">
        <is>
          <t>2026-09-24T15:00:00.000Z</t>
        </is>
      </c>
      <c r="W111" s="16" t="inlineStr">
        <is>
          <t>Argentina</t>
        </is>
      </c>
      <c r="Y111" s="16" t="inlineStr">
        <is>
          <t>Secundaria completa</t>
        </is>
      </c>
      <c r="Z111" s="16" t="inlineStr">
        <is>
          <t>No</t>
        </is>
      </c>
      <c r="AA111" s="16" t="inlineStr">
        <is>
          <t>4</t>
        </is>
      </c>
      <c r="AB111" s="16" t="inlineStr">
        <is>
          <t>3</t>
        </is>
      </c>
      <c r="AC111" s="16" t="inlineStr">
        <is>
          <t>Inglés</t>
        </is>
      </c>
      <c r="AE111" s="16" t="inlineStr">
        <is>
          <t>Español</t>
        </is>
      </c>
      <c r="AG111" s="16" t="inlineStr">
        <is>
          <t>Argentina</t>
        </is>
      </c>
      <c r="AI111" s="16" t="inlineStr">
        <is>
          <t>Bueno</t>
        </is>
      </c>
      <c r="AJ111" s="16" t="n">
        <v>19</v>
      </c>
      <c r="AK111" s="16" t="inlineStr">
        <is>
          <t>Viaje interprovincial</t>
        </is>
      </c>
      <c r="AL111" s="16" t="inlineStr">
        <is>
          <t>Una vez a la semana</t>
        </is>
      </c>
      <c r="AN111" s="16" t="inlineStr">
        <is>
          <t>Diariamente</t>
        </is>
      </c>
      <c r="AP111" s="16" t="inlineStr">
        <is>
          <t>Empleado</t>
        </is>
      </c>
      <c r="AR111" s="16" t="inlineStr">
        <is>
          <t>Conforme</t>
        </is>
      </c>
      <c r="AS111" s="16" t="inlineStr">
        <is>
          <t>No</t>
        </is>
      </c>
      <c r="AT111" s="16" t="n">
        <v>6.2</v>
      </c>
      <c r="AU111" s="16" t="inlineStr">
        <is>
          <t>No</t>
        </is>
      </c>
      <c r="AV111" s="16" t="inlineStr">
        <is>
          <t>Paradores</t>
        </is>
      </c>
      <c r="AX111" s="16" t="n">
        <v>6.3</v>
      </c>
      <c r="AY111" s="16" t="inlineStr">
        <is>
          <t>Varias veces por semana</t>
        </is>
      </c>
      <c r="AZ111" s="16" t="inlineStr">
        <is>
          <t>Jugos artificiales; Café; Gaseosas</t>
        </is>
      </c>
      <c r="BB111" s="16" t="inlineStr">
        <is>
          <t>Casi nunca</t>
        </is>
      </c>
      <c r="BC111" s="16" t="inlineStr">
        <is>
          <t>Sí</t>
        </is>
      </c>
      <c r="BD111" s="16" t="inlineStr">
        <is>
          <t>No</t>
        </is>
      </c>
      <c r="BE111" s="16" t="inlineStr">
        <is>
          <t>Parcialmente</t>
        </is>
      </c>
      <c r="BF111" s="16" t="inlineStr">
        <is>
          <t>Obra social</t>
        </is>
      </c>
      <c r="BG111" s="16" t="inlineStr">
        <is>
          <t>Ninguno</t>
        </is>
      </c>
      <c r="BH111" s="16" t="inlineStr">
        <is>
          <t>Solo cuando me siento mal</t>
        </is>
      </c>
      <c r="BI111" s="16" t="inlineStr">
        <is>
          <t>Sistema público</t>
        </is>
      </c>
      <c r="BJ111" s="16" t="inlineStr">
        <is>
          <t>Sí</t>
        </is>
      </c>
      <c r="BK111" s="16" t="inlineStr">
        <is>
          <t>Lumbar</t>
        </is>
      </c>
      <c r="BL111" s="16" t="inlineStr">
        <is>
          <t>Medicamentos</t>
        </is>
      </c>
      <c r="BM111" s="16" t="inlineStr">
        <is>
          <t>Ibuprofeno</t>
        </is>
      </c>
      <c r="BN111" s="16" t="inlineStr">
        <is>
          <t>Musculoesqueléticos</t>
        </is>
      </c>
      <c r="BP111" s="16" t="inlineStr">
        <is>
          <t>Nunca</t>
        </is>
      </c>
      <c r="BQ111" s="16" t="inlineStr">
        <is>
          <t>Café; Coca-Cola</t>
        </is>
      </c>
      <c r="BS111" s="16" t="inlineStr">
        <is>
          <t>No</t>
        </is>
      </c>
      <c r="BT111" s="16" t="inlineStr">
        <is>
          <t>No</t>
        </is>
      </c>
      <c r="BU111" s="16" t="inlineStr">
        <is>
          <t>Siempre</t>
        </is>
      </c>
      <c r="BV111" s="16" t="inlineStr">
        <is>
          <t>No</t>
        </is>
      </c>
      <c r="BW111" s="16" t="inlineStr">
        <is>
          <t>No</t>
        </is>
      </c>
      <c r="BX111" s="16" t="inlineStr">
        <is>
          <t>Mujer</t>
        </is>
      </c>
      <c r="BY111" s="16" t="n">
        <v>91.3</v>
      </c>
      <c r="BZ111" s="16" t="n">
        <v>1.7</v>
      </c>
      <c r="CA111" s="16" t="n">
        <v>31.6</v>
      </c>
      <c r="CB111" s="16" t="n">
        <v>89</v>
      </c>
      <c r="CC111" s="16" t="n">
        <v>138</v>
      </c>
      <c r="CD111" s="16" t="n">
        <v>88</v>
      </c>
      <c r="CE111" s="16" t="inlineStr">
        <is>
          <t>Sí</t>
        </is>
      </c>
      <c r="CF111" s="16" t="inlineStr">
        <is>
          <t>No</t>
        </is>
      </c>
      <c r="CG111" s="16" t="inlineStr">
        <is>
          <t>No</t>
        </is>
      </c>
      <c r="CH111" s="16" t="inlineStr">
        <is>
          <t>No</t>
        </is>
      </c>
      <c r="CI111" s="16" t="inlineStr">
        <is>
          <t>No</t>
        </is>
      </c>
      <c r="CJ111" s="16" t="inlineStr">
        <is>
          <t>No</t>
        </is>
      </c>
      <c r="CK111" s="16" t="inlineStr">
        <is>
          <t>Sí</t>
        </is>
      </c>
      <c r="CL111" s="16" t="inlineStr">
        <is>
          <t>Sí</t>
        </is>
      </c>
      <c r="CM111" s="16" t="inlineStr">
        <is>
          <t>07:36</t>
        </is>
      </c>
      <c r="CN111" s="16" t="inlineStr">
        <is>
          <t>Mate</t>
        </is>
      </c>
      <c r="CO111" s="16" t="inlineStr">
        <is>
          <t>12:30</t>
        </is>
      </c>
      <c r="CP111" s="16" t="n">
        <v>147</v>
      </c>
      <c r="CQ111" s="16" t="n">
        <v>294</v>
      </c>
      <c r="CR111" s="16" t="inlineStr">
        <is>
          <t>Sí</t>
        </is>
      </c>
      <c r="CS111" s="16" t="n">
        <v>10</v>
      </c>
      <c r="CT111" s="16" t="inlineStr">
        <is>
          <t>Ligeramente elevado</t>
        </is>
      </c>
      <c r="CU111" s="16" t="inlineStr">
        <is>
          <t>4 %</t>
        </is>
      </c>
      <c r="CV111" s="16" t="inlineStr">
        <is>
          <t>Sí</t>
        </is>
      </c>
      <c r="CW111" s="16" t="n">
        <v>17</v>
      </c>
      <c r="CX111" s="16" t="inlineStr">
        <is>
          <t>5</t>
        </is>
      </c>
      <c r="CY111" s="16" t="inlineStr">
        <is>
          <t>Bajo</t>
        </is>
      </c>
    </row>
    <row r="112">
      <c r="A112" s="16" t="inlineStr">
        <is>
          <t>demo-111</t>
        </is>
      </c>
      <c r="B112" s="16" t="inlineStr">
        <is>
          <t>C1-0111</t>
        </is>
      </c>
      <c r="C112" s="16" t="inlineStr">
        <is>
          <t>510-27-4400</t>
        </is>
      </c>
      <c r="D112" s="16" t="n">
        <v>510</v>
      </c>
      <c r="E112" s="16" t="n">
        <v>27</v>
      </c>
      <c r="F112" s="16" t="inlineStr">
        <is>
          <t>4400</t>
        </is>
      </c>
      <c r="G112" s="17" t="n">
        <v>46294</v>
      </c>
      <c r="H112" s="16" t="inlineStr">
        <is>
          <t>14:04</t>
        </is>
      </c>
      <c r="J112" s="16" t="inlineStr">
        <is>
          <t>C</t>
        </is>
      </c>
      <c r="K112" s="16" t="inlineStr">
        <is>
          <t>1</t>
        </is>
      </c>
      <c r="L112" s="16" t="inlineStr">
        <is>
          <t>Encuestador C</t>
        </is>
      </c>
      <c r="M112" s="16" t="inlineStr">
        <is>
          <t>Puesto 2</t>
        </is>
      </c>
      <c r="N112" s="16" t="inlineStr">
        <is>
          <t>Sí</t>
        </is>
      </c>
      <c r="O112" s="16" t="inlineStr">
        <is>
          <t>Sí</t>
        </is>
      </c>
      <c r="P112" s="16" t="n">
        <v>38</v>
      </c>
      <c r="Q112" s="16" t="inlineStr">
        <is>
          <t>Sí</t>
        </is>
      </c>
      <c r="R112" s="16" t="inlineStr">
        <is>
          <t>Sí</t>
        </is>
      </c>
      <c r="S112" s="16" t="inlineStr">
        <is>
          <t>Sí</t>
        </is>
      </c>
      <c r="T112" s="16" t="inlineStr">
        <is>
          <t>finalizado</t>
        </is>
      </c>
      <c r="U112" s="16" t="inlineStr">
        <is>
          <t>2026-10-v2</t>
        </is>
      </c>
      <c r="V112" s="16" t="inlineStr">
        <is>
          <t>2026-09-29T15:00:00.000Z</t>
        </is>
      </c>
      <c r="W112" s="16" t="inlineStr">
        <is>
          <t>Argentina</t>
        </is>
      </c>
      <c r="Y112" s="16" t="inlineStr">
        <is>
          <t>Secundaria incompleta</t>
        </is>
      </c>
      <c r="Z112" s="16" t="inlineStr">
        <is>
          <t>No</t>
        </is>
      </c>
      <c r="AA112" s="16" t="inlineStr">
        <is>
          <t>4</t>
        </is>
      </c>
      <c r="AB112" s="16" t="inlineStr">
        <is>
          <t>5</t>
        </is>
      </c>
      <c r="AC112" s="16" t="inlineStr">
        <is>
          <t>Español</t>
        </is>
      </c>
      <c r="AE112" s="16" t="inlineStr">
        <is>
          <t>Español</t>
        </is>
      </c>
      <c r="AG112" s="16" t="inlineStr">
        <is>
          <t>Argentina</t>
        </is>
      </c>
      <c r="AI112" s="16" t="inlineStr">
        <is>
          <t>Muy malo</t>
        </is>
      </c>
      <c r="AJ112" s="16" t="n">
        <v>6</v>
      </c>
      <c r="AK112" s="16" t="inlineStr">
        <is>
          <t>Viaje internacional</t>
        </is>
      </c>
      <c r="AL112" s="16" t="inlineStr">
        <is>
          <t>2 veces por semana</t>
        </is>
      </c>
      <c r="AN112" s="16" t="inlineStr">
        <is>
          <t>Diariamente</t>
        </is>
      </c>
      <c r="AP112" s="16" t="inlineStr">
        <is>
          <t>Empleado</t>
        </is>
      </c>
      <c r="AR112" s="16" t="inlineStr">
        <is>
          <t>Parcialmente conforme</t>
        </is>
      </c>
      <c r="AS112" s="16" t="inlineStr">
        <is>
          <t>Sí</t>
        </is>
      </c>
      <c r="AT112" s="16" t="n">
        <v>2.6</v>
      </c>
      <c r="AU112" s="16" t="inlineStr">
        <is>
          <t>Sí</t>
        </is>
      </c>
      <c r="AV112" s="16" t="inlineStr">
        <is>
          <t>Paradores</t>
        </is>
      </c>
      <c r="AX112" s="16" t="n">
        <v>4.6</v>
      </c>
      <c r="AY112" s="16" t="inlineStr">
        <is>
          <t>Nunca</t>
        </is>
      </c>
      <c r="AZ112" s="16" t="inlineStr">
        <is>
          <t>Agua</t>
        </is>
      </c>
      <c r="BB112" s="16" t="inlineStr">
        <is>
          <t>Sí, siempre</t>
        </is>
      </c>
      <c r="BC112" s="16" t="inlineStr">
        <is>
          <t>Sí</t>
        </is>
      </c>
      <c r="BD112" s="16" t="inlineStr">
        <is>
          <t>No</t>
        </is>
      </c>
      <c r="BE112" s="16" t="inlineStr">
        <is>
          <t>No</t>
        </is>
      </c>
      <c r="BF112" s="16" t="inlineStr">
        <is>
          <t>Obra social; Prepaga</t>
        </is>
      </c>
      <c r="BG112" s="16" t="inlineStr">
        <is>
          <t>Sistema público</t>
        </is>
      </c>
      <c r="BH112" s="16" t="inlineStr">
        <is>
          <t>2 veces al año</t>
        </is>
      </c>
      <c r="BI112" s="16" t="inlineStr">
        <is>
          <t>Sistema público</t>
        </is>
      </c>
      <c r="BJ112" s="16" t="inlineStr">
        <is>
          <t>No</t>
        </is>
      </c>
      <c r="BL112" s="16" t="inlineStr">
        <is>
          <t>Ninguno</t>
        </is>
      </c>
      <c r="BN112" s="16" t="inlineStr">
        <is>
          <t>Musculoesqueléticos; Digestivas</t>
        </is>
      </c>
      <c r="BP112" s="16" t="inlineStr">
        <is>
          <t>Una vez a la semana</t>
        </is>
      </c>
      <c r="BQ112" s="16" t="inlineStr">
        <is>
          <t>Café; Coca-Cola</t>
        </is>
      </c>
      <c r="BS112" s="16" t="inlineStr">
        <is>
          <t>Sí</t>
        </is>
      </c>
      <c r="BT112" s="16" t="inlineStr">
        <is>
          <t>Sí</t>
        </is>
      </c>
      <c r="BU112" s="16" t="inlineStr">
        <is>
          <t>Siempre</t>
        </is>
      </c>
      <c r="BV112" s="16" t="inlineStr">
        <is>
          <t>Sí</t>
        </is>
      </c>
      <c r="BW112" s="16" t="inlineStr">
        <is>
          <t>No</t>
        </is>
      </c>
      <c r="BX112" s="16" t="inlineStr">
        <is>
          <t>Varón</t>
        </is>
      </c>
      <c r="BY112" s="16" t="n">
        <v>101.4</v>
      </c>
      <c r="BZ112" s="16" t="n">
        <v>1.82</v>
      </c>
      <c r="CA112" s="16" t="n">
        <v>30.6</v>
      </c>
      <c r="CB112" s="16" t="n">
        <v>97</v>
      </c>
      <c r="CC112" s="16" t="n">
        <v>116</v>
      </c>
      <c r="CD112" s="16" t="n">
        <v>74</v>
      </c>
      <c r="CE112" s="16" t="inlineStr">
        <is>
          <t>No</t>
        </is>
      </c>
      <c r="CF112" s="16" t="inlineStr">
        <is>
          <t>Sí</t>
        </is>
      </c>
      <c r="CG112" s="16" t="inlineStr">
        <is>
          <t>No</t>
        </is>
      </c>
      <c r="CH112" s="16" t="inlineStr">
        <is>
          <t>No</t>
        </is>
      </c>
      <c r="CI112" s="16" t="inlineStr">
        <is>
          <t>No</t>
        </is>
      </c>
      <c r="CJ112" s="16" t="inlineStr">
        <is>
          <t>Sí, parientes lejanos</t>
        </is>
      </c>
      <c r="CK112" s="16" t="inlineStr">
        <is>
          <t>No</t>
        </is>
      </c>
      <c r="CL112" s="16" t="inlineStr">
        <is>
          <t>Sí</t>
        </is>
      </c>
      <c r="CM112" s="16" t="inlineStr">
        <is>
          <t>07:28</t>
        </is>
      </c>
      <c r="CN112" s="16" t="inlineStr">
        <is>
          <t>Mate</t>
        </is>
      </c>
      <c r="CO112" s="16" t="inlineStr">
        <is>
          <t>13:30</t>
        </is>
      </c>
      <c r="CP112" s="16" t="n">
        <v>169</v>
      </c>
      <c r="CQ112" s="16" t="n">
        <v>362</v>
      </c>
      <c r="CR112" s="16" t="inlineStr">
        <is>
          <t>Sí</t>
        </is>
      </c>
      <c r="CS112" s="16" t="n">
        <v>11</v>
      </c>
      <c r="CT112" s="16" t="inlineStr">
        <is>
          <t>Ligeramente elevado</t>
        </is>
      </c>
      <c r="CU112" s="16" t="inlineStr">
        <is>
          <t>4 %</t>
        </is>
      </c>
      <c r="CV112" s="16" t="inlineStr">
        <is>
          <t>Sí</t>
        </is>
      </c>
      <c r="CW112" s="16" t="n">
        <v>-6</v>
      </c>
      <c r="CX112" s="16" t="inlineStr">
        <is>
          <t>&lt;1</t>
        </is>
      </c>
      <c r="CY112" s="16" t="inlineStr">
        <is>
          <t>Bajo</t>
        </is>
      </c>
    </row>
    <row r="113">
      <c r="A113" s="16" t="inlineStr">
        <is>
          <t>demo-112</t>
        </is>
      </c>
      <c r="B113" s="16" t="inlineStr">
        <is>
          <t>A1-0112</t>
        </is>
      </c>
      <c r="C113" s="16" t="inlineStr">
        <is>
          <t>112-59-4400</t>
        </is>
      </c>
      <c r="D113" s="16" t="n">
        <v>112</v>
      </c>
      <c r="E113" s="16" t="n">
        <v>59</v>
      </c>
      <c r="F113" s="16" t="inlineStr">
        <is>
          <t>4400</t>
        </is>
      </c>
      <c r="G113" s="17" t="n">
        <v>46289</v>
      </c>
      <c r="H113" s="16" t="inlineStr">
        <is>
          <t>14:02</t>
        </is>
      </c>
      <c r="J113" s="16" t="inlineStr">
        <is>
          <t>A</t>
        </is>
      </c>
      <c r="K113" s="16" t="inlineStr">
        <is>
          <t>1</t>
        </is>
      </c>
      <c r="L113" s="16" t="inlineStr">
        <is>
          <t>Encuestador A</t>
        </is>
      </c>
      <c r="M113" s="16" t="inlineStr">
        <is>
          <t>Puesto 2</t>
        </is>
      </c>
      <c r="N113" s="16" t="inlineStr">
        <is>
          <t>Sí</t>
        </is>
      </c>
      <c r="O113" s="16" t="inlineStr">
        <is>
          <t>No</t>
        </is>
      </c>
      <c r="P113" s="16" t="n">
        <v>39</v>
      </c>
      <c r="Q113" s="16" t="inlineStr">
        <is>
          <t>Sí</t>
        </is>
      </c>
      <c r="R113" s="16" t="inlineStr">
        <is>
          <t>Sí</t>
        </is>
      </c>
      <c r="S113" s="16" t="inlineStr">
        <is>
          <t>Sí</t>
        </is>
      </c>
      <c r="T113" s="16" t="inlineStr">
        <is>
          <t>finalizado</t>
        </is>
      </c>
      <c r="U113" s="16" t="inlineStr">
        <is>
          <t>2026-10-v2</t>
        </is>
      </c>
      <c r="V113" s="16" t="inlineStr">
        <is>
          <t>2026-09-24T15:00:00.000Z</t>
        </is>
      </c>
      <c r="W113" s="16" t="inlineStr">
        <is>
          <t>Argentina</t>
        </is>
      </c>
      <c r="Y113" s="16" t="inlineStr">
        <is>
          <t>Terciario incompleto</t>
        </is>
      </c>
      <c r="Z113" s="16" t="inlineStr">
        <is>
          <t>No</t>
        </is>
      </c>
      <c r="AA113" s="16" t="inlineStr">
        <is>
          <t>4</t>
        </is>
      </c>
      <c r="AB113" s="16" t="inlineStr">
        <is>
          <t>5</t>
        </is>
      </c>
      <c r="AC113" s="16" t="inlineStr">
        <is>
          <t>Portugués; Guaraní</t>
        </is>
      </c>
      <c r="AE113" s="16" t="inlineStr">
        <is>
          <t>Español</t>
        </is>
      </c>
      <c r="AG113" s="16" t="inlineStr">
        <is>
          <t>Argentina</t>
        </is>
      </c>
      <c r="AI113" s="16" t="inlineStr">
        <is>
          <t>Muy malo</t>
        </is>
      </c>
      <c r="AJ113" s="16" t="n">
        <v>31</v>
      </c>
      <c r="AK113" s="16" t="inlineStr">
        <is>
          <t>Viaje interprovincial</t>
        </is>
      </c>
      <c r="AL113" s="16" t="inlineStr">
        <is>
          <t>Quincenalmente</t>
        </is>
      </c>
      <c r="AN113" s="16" t="inlineStr">
        <is>
          <t>Diariamente</t>
        </is>
      </c>
      <c r="AP113" s="16" t="inlineStr">
        <is>
          <t>Dueño del camión</t>
        </is>
      </c>
      <c r="AR113" s="16" t="inlineStr">
        <is>
          <t>Parcialmente conforme</t>
        </is>
      </c>
      <c r="AS113" s="16" t="inlineStr">
        <is>
          <t>Duda</t>
        </is>
      </c>
      <c r="AT113" s="16" t="n">
        <v>3.1</v>
      </c>
      <c r="AU113" s="16" t="inlineStr">
        <is>
          <t>Sí</t>
        </is>
      </c>
      <c r="AV113" s="16" t="inlineStr">
        <is>
          <t>Paradores; Estaciones de servicio</t>
        </is>
      </c>
      <c r="AX113" s="16" t="n">
        <v>5.7</v>
      </c>
      <c r="AY113" s="16" t="inlineStr">
        <is>
          <t>Casi nunca</t>
        </is>
      </c>
      <c r="AZ113" s="16" t="inlineStr">
        <is>
          <t>Jugos artificiales; Mate</t>
        </is>
      </c>
      <c r="BB113" s="16" t="inlineStr">
        <is>
          <t>Casi nunca</t>
        </is>
      </c>
      <c r="BC113" s="16" t="inlineStr">
        <is>
          <t>Algunas veces</t>
        </is>
      </c>
      <c r="BD113" s="16" t="inlineStr">
        <is>
          <t>No</t>
        </is>
      </c>
      <c r="BE113" s="16" t="inlineStr">
        <is>
          <t>Sí</t>
        </is>
      </c>
      <c r="BF113" s="16" t="inlineStr">
        <is>
          <t>Obra social</t>
        </is>
      </c>
      <c r="BG113" s="16" t="inlineStr">
        <is>
          <t>Ninguno</t>
        </is>
      </c>
      <c r="BH113" s="16" t="inlineStr">
        <is>
          <t>2 veces al año</t>
        </is>
      </c>
      <c r="BI113" s="16" t="inlineStr">
        <is>
          <t>Sistema público</t>
        </is>
      </c>
      <c r="BJ113" s="16" t="inlineStr">
        <is>
          <t>Sí</t>
        </is>
      </c>
      <c r="BK113" s="16" t="inlineStr">
        <is>
          <t>Cervical</t>
        </is>
      </c>
      <c r="BL113" s="16" t="inlineStr">
        <is>
          <t>Medicamentos</t>
        </is>
      </c>
      <c r="BM113" s="16" t="inlineStr">
        <is>
          <t>Ibuprofeno</t>
        </is>
      </c>
      <c r="BN113" s="16" t="inlineStr">
        <is>
          <t>Obesidad</t>
        </is>
      </c>
      <c r="BP113" s="16" t="inlineStr">
        <is>
          <t>Nunca</t>
        </is>
      </c>
      <c r="BQ113" s="16" t="inlineStr">
        <is>
          <t>No</t>
        </is>
      </c>
      <c r="BS113" s="16" t="inlineStr">
        <is>
          <t>No</t>
        </is>
      </c>
      <c r="BT113" s="16" t="inlineStr">
        <is>
          <t>Sí</t>
        </is>
      </c>
      <c r="BU113" s="16" t="inlineStr">
        <is>
          <t>A veces</t>
        </is>
      </c>
      <c r="BV113" s="16" t="inlineStr">
        <is>
          <t>Sí</t>
        </is>
      </c>
      <c r="BW113" s="16" t="inlineStr">
        <is>
          <t>No</t>
        </is>
      </c>
      <c r="BX113" s="16" t="inlineStr">
        <is>
          <t>Varón</t>
        </is>
      </c>
      <c r="BY113" s="16" t="n">
        <v>73.2</v>
      </c>
      <c r="BZ113" s="16" t="n">
        <v>1.78</v>
      </c>
      <c r="CA113" s="16" t="n">
        <v>23.1</v>
      </c>
      <c r="CB113" s="16" t="n">
        <v>105</v>
      </c>
      <c r="CC113" s="16" t="n">
        <v>109</v>
      </c>
      <c r="CD113" s="16" t="n">
        <v>70</v>
      </c>
      <c r="CE113" s="16" t="inlineStr">
        <is>
          <t>No</t>
        </is>
      </c>
      <c r="CF113" s="16" t="inlineStr">
        <is>
          <t>No</t>
        </is>
      </c>
      <c r="CG113" s="16" t="inlineStr">
        <is>
          <t>No</t>
        </is>
      </c>
      <c r="CH113" s="16" t="inlineStr">
        <is>
          <t>No</t>
        </is>
      </c>
      <c r="CI113" s="16" t="inlineStr">
        <is>
          <t>Sí</t>
        </is>
      </c>
      <c r="CJ113" s="16" t="inlineStr">
        <is>
          <t>No</t>
        </is>
      </c>
      <c r="CK113" s="16" t="inlineStr">
        <is>
          <t>Sí</t>
        </is>
      </c>
      <c r="CL113" s="16" t="inlineStr">
        <is>
          <t>Sí</t>
        </is>
      </c>
      <c r="CM113" s="16" t="inlineStr">
        <is>
          <t>07:47</t>
        </is>
      </c>
      <c r="CN113" s="16" t="inlineStr">
        <is>
          <t>Mate</t>
        </is>
      </c>
      <c r="CO113" s="16" t="inlineStr">
        <is>
          <t>14:30</t>
        </is>
      </c>
      <c r="CP113" s="16" t="n">
        <v>110</v>
      </c>
      <c r="CQ113" s="16" t="n">
        <v>403</v>
      </c>
      <c r="CR113" s="16" t="inlineStr">
        <is>
          <t>Sí</t>
        </is>
      </c>
      <c r="CS113" s="16" t="n">
        <v>15</v>
      </c>
      <c r="CT113" s="16" t="inlineStr">
        <is>
          <t>Alto</t>
        </is>
      </c>
      <c r="CU113" s="16" t="inlineStr">
        <is>
          <t>33 %</t>
        </is>
      </c>
      <c r="CV113" s="16" t="inlineStr">
        <is>
          <t>Sí</t>
        </is>
      </c>
      <c r="CW113" s="16" t="n">
        <v>11</v>
      </c>
      <c r="CX113" s="16" t="inlineStr">
        <is>
          <t>8</t>
        </is>
      </c>
      <c r="CY113" s="16" t="inlineStr">
        <is>
          <t>Bajo</t>
        </is>
      </c>
    </row>
    <row r="114">
      <c r="A114" s="16" t="inlineStr">
        <is>
          <t>demo-113</t>
        </is>
      </c>
      <c r="B114" s="16" t="inlineStr">
        <is>
          <t>C1-0113</t>
        </is>
      </c>
      <c r="C114" s="16" t="inlineStr">
        <is>
          <t>512-67-4400</t>
        </is>
      </c>
      <c r="D114" s="16" t="n">
        <v>512</v>
      </c>
      <c r="E114" s="16" t="n">
        <v>67</v>
      </c>
      <c r="F114" s="16" t="inlineStr">
        <is>
          <t>4400</t>
        </is>
      </c>
      <c r="G114" s="17" t="n">
        <v>46294</v>
      </c>
      <c r="H114" s="16" t="inlineStr">
        <is>
          <t>13:03</t>
        </is>
      </c>
      <c r="J114" s="16" t="inlineStr">
        <is>
          <t>C</t>
        </is>
      </c>
      <c r="K114" s="16" t="inlineStr">
        <is>
          <t>1</t>
        </is>
      </c>
      <c r="L114" s="16" t="inlineStr">
        <is>
          <t>Encuestador C</t>
        </is>
      </c>
      <c r="M114" s="16" t="inlineStr">
        <is>
          <t>Puesto 2</t>
        </is>
      </c>
      <c r="N114" s="16" t="inlineStr">
        <is>
          <t>Sí</t>
        </is>
      </c>
      <c r="O114" s="16" t="inlineStr">
        <is>
          <t>No</t>
        </is>
      </c>
      <c r="P114" s="16" t="n">
        <v>39</v>
      </c>
      <c r="Q114" s="16" t="inlineStr">
        <is>
          <t>Sí</t>
        </is>
      </c>
      <c r="R114" s="16" t="inlineStr">
        <is>
          <t>No</t>
        </is>
      </c>
      <c r="S114" s="16" t="inlineStr">
        <is>
          <t>No</t>
        </is>
      </c>
      <c r="T114" s="16" t="inlineStr">
        <is>
          <t>finalizado</t>
        </is>
      </c>
      <c r="U114" s="16" t="inlineStr">
        <is>
          <t>2026-10-v2</t>
        </is>
      </c>
      <c r="V114" s="16" t="inlineStr">
        <is>
          <t>2026-09-29T15:00:00.000Z</t>
        </is>
      </c>
      <c r="W114" s="16" t="inlineStr">
        <is>
          <t>Chile</t>
        </is>
      </c>
      <c r="Y114" s="16" t="inlineStr">
        <is>
          <t>Secundaria completa</t>
        </is>
      </c>
      <c r="Z114" s="16" t="inlineStr">
        <is>
          <t>Sí</t>
        </is>
      </c>
      <c r="AA114" s="16" t="inlineStr">
        <is>
          <t>2</t>
        </is>
      </c>
      <c r="AB114" s="16" t="inlineStr">
        <is>
          <t>4</t>
        </is>
      </c>
      <c r="AC114" s="16" t="inlineStr">
        <is>
          <t>Español</t>
        </is>
      </c>
      <c r="AE114" s="16" t="inlineStr">
        <is>
          <t>Español</t>
        </is>
      </c>
      <c r="AG114" s="16" t="inlineStr">
        <is>
          <t>Argentina</t>
        </is>
      </c>
      <c r="AI114" s="16" t="inlineStr">
        <is>
          <t>Bueno</t>
        </is>
      </c>
      <c r="AJ114" s="16" t="n">
        <v>37</v>
      </c>
      <c r="AK114" s="16" t="inlineStr">
        <is>
          <t>Viaje internacional</t>
        </is>
      </c>
      <c r="AL114" s="16" t="inlineStr">
        <is>
          <t>Quincenalmente</t>
        </is>
      </c>
      <c r="AN114" s="16" t="inlineStr">
        <is>
          <t>Diariamente</t>
        </is>
      </c>
      <c r="AP114" s="16" t="inlineStr">
        <is>
          <t>Empleado</t>
        </is>
      </c>
      <c r="AR114" s="16" t="inlineStr">
        <is>
          <t>Parcialmente conforme</t>
        </is>
      </c>
      <c r="AS114" s="16" t="inlineStr">
        <is>
          <t>Sí</t>
        </is>
      </c>
      <c r="AT114" s="16" t="n">
        <v>8.5</v>
      </c>
      <c r="AU114" s="16" t="inlineStr">
        <is>
          <t>Sí</t>
        </is>
      </c>
      <c r="AV114" s="16" t="inlineStr">
        <is>
          <t>Estaciones de servicio</t>
        </is>
      </c>
      <c r="AX114" s="16" t="n">
        <v>6.7</v>
      </c>
      <c r="AY114" s="16" t="inlineStr">
        <is>
          <t>Casi nunca</t>
        </is>
      </c>
      <c r="AZ114" s="16" t="inlineStr">
        <is>
          <t>Gaseosas</t>
        </is>
      </c>
      <c r="BB114" s="16" t="inlineStr">
        <is>
          <t>Sí, siempre</t>
        </is>
      </c>
      <c r="BC114" s="16" t="inlineStr">
        <is>
          <t>Algunas veces</t>
        </is>
      </c>
      <c r="BD114" s="16" t="inlineStr">
        <is>
          <t>No</t>
        </is>
      </c>
      <c r="BE114" s="16" t="inlineStr">
        <is>
          <t>Parcialmente</t>
        </is>
      </c>
      <c r="BF114" s="16" t="inlineStr">
        <is>
          <t>Obra social</t>
        </is>
      </c>
      <c r="BG114" s="16" t="inlineStr">
        <is>
          <t>Sistema público</t>
        </is>
      </c>
      <c r="BH114" s="16" t="inlineStr">
        <is>
          <t>Solo cuando me siento mal</t>
        </is>
      </c>
      <c r="BI114" s="16" t="inlineStr">
        <is>
          <t>Sistema público; Otros (medicina tradicional, alternativa, etc.)</t>
        </is>
      </c>
      <c r="BJ114" s="16" t="inlineStr">
        <is>
          <t>No</t>
        </is>
      </c>
      <c r="BL114" s="16" t="inlineStr">
        <is>
          <t>Medicamentos</t>
        </is>
      </c>
      <c r="BM114" s="16" t="inlineStr">
        <is>
          <t>Ibuprofeno</t>
        </is>
      </c>
      <c r="BN114" s="16" t="inlineStr">
        <is>
          <t>Musculoesqueléticos; Digestivas</t>
        </is>
      </c>
      <c r="BP114" s="16" t="inlineStr">
        <is>
          <t>Rara vez</t>
        </is>
      </c>
      <c r="BQ114" s="16" t="inlineStr">
        <is>
          <t>Yerba mate</t>
        </is>
      </c>
      <c r="BS114" s="16" t="inlineStr">
        <is>
          <t>No</t>
        </is>
      </c>
      <c r="BT114" s="16" t="inlineStr">
        <is>
          <t>Sí</t>
        </is>
      </c>
      <c r="BU114" s="16" t="inlineStr">
        <is>
          <t>Siempre</t>
        </is>
      </c>
      <c r="BV114" s="16" t="inlineStr">
        <is>
          <t>No</t>
        </is>
      </c>
    </row>
    <row r="115">
      <c r="A115" s="16" t="inlineStr">
        <is>
          <t>demo-114</t>
        </is>
      </c>
      <c r="B115" s="16" t="inlineStr">
        <is>
          <t>C1-0114</t>
        </is>
      </c>
      <c r="C115" s="16" t="inlineStr">
        <is>
          <t>513-54-4612</t>
        </is>
      </c>
      <c r="D115" s="16" t="n">
        <v>513</v>
      </c>
      <c r="E115" s="16" t="n">
        <v>54</v>
      </c>
      <c r="F115" s="16" t="inlineStr">
        <is>
          <t>4612</t>
        </is>
      </c>
      <c r="G115" s="17" t="n">
        <v>46290</v>
      </c>
      <c r="H115" s="16" t="inlineStr">
        <is>
          <t>15:05</t>
        </is>
      </c>
      <c r="J115" s="16" t="inlineStr">
        <is>
          <t>C</t>
        </is>
      </c>
      <c r="K115" s="16" t="inlineStr">
        <is>
          <t>1</t>
        </is>
      </c>
      <c r="L115" s="16" t="inlineStr">
        <is>
          <t>Encuestador C</t>
        </is>
      </c>
      <c r="M115" s="16" t="inlineStr">
        <is>
          <t>Puesto 2</t>
        </is>
      </c>
      <c r="N115" s="16" t="inlineStr">
        <is>
          <t>Sí</t>
        </is>
      </c>
      <c r="O115" s="16" t="inlineStr">
        <is>
          <t>Sí</t>
        </is>
      </c>
      <c r="P115" s="16" t="n">
        <v>39</v>
      </c>
      <c r="Q115" s="16" t="inlineStr">
        <is>
          <t>Sí</t>
        </is>
      </c>
      <c r="R115" s="16" t="inlineStr">
        <is>
          <t>Sí</t>
        </is>
      </c>
      <c r="S115" s="16" t="inlineStr">
        <is>
          <t>Sí</t>
        </is>
      </c>
      <c r="T115" s="16" t="inlineStr">
        <is>
          <t>finalizado</t>
        </is>
      </c>
      <c r="U115" s="16" t="inlineStr">
        <is>
          <t>2026-10-v2</t>
        </is>
      </c>
      <c r="V115" s="16" t="inlineStr">
        <is>
          <t>2026-09-25T15:00:00.000Z</t>
        </is>
      </c>
      <c r="W115" s="16" t="inlineStr">
        <is>
          <t>Argentina</t>
        </is>
      </c>
      <c r="Y115" s="16" t="inlineStr">
        <is>
          <t>Secundaria incompleta</t>
        </is>
      </c>
      <c r="Z115" s="16" t="inlineStr">
        <is>
          <t>No</t>
        </is>
      </c>
      <c r="AA115" s="16" t="inlineStr">
        <is>
          <t>Más de 5</t>
        </is>
      </c>
      <c r="AB115" s="16" t="inlineStr">
        <is>
          <t>4</t>
        </is>
      </c>
      <c r="AC115" s="16" t="inlineStr">
        <is>
          <t>Portugués; Inglés</t>
        </is>
      </c>
      <c r="AE115" s="16" t="inlineStr">
        <is>
          <t>Español</t>
        </is>
      </c>
      <c r="AG115" s="16" t="inlineStr">
        <is>
          <t>Argentina</t>
        </is>
      </c>
      <c r="AI115" s="16" t="inlineStr">
        <is>
          <t>Regular</t>
        </is>
      </c>
      <c r="AJ115" s="16" t="n">
        <v>5</v>
      </c>
      <c r="AK115" s="16" t="inlineStr">
        <is>
          <t>Viaje interprovincial</t>
        </is>
      </c>
      <c r="AL115" s="16" t="inlineStr">
        <is>
          <t>2 veces por semana</t>
        </is>
      </c>
      <c r="AN115" s="16" t="inlineStr">
        <is>
          <t>Diariamente</t>
        </is>
      </c>
      <c r="AP115" s="16" t="inlineStr">
        <is>
          <t>Otro</t>
        </is>
      </c>
      <c r="AR115" s="16" t="inlineStr">
        <is>
          <t>Disconforme</t>
        </is>
      </c>
      <c r="AS115" s="16" t="inlineStr">
        <is>
          <t>Sí</t>
        </is>
      </c>
      <c r="AT115" s="16" t="n">
        <v>6.6</v>
      </c>
      <c r="AU115" s="16" t="inlineStr">
        <is>
          <t>Sí</t>
        </is>
      </c>
      <c r="AV115" s="16" t="inlineStr">
        <is>
          <t>En el camión al costado de la ruta; Paradores</t>
        </is>
      </c>
      <c r="AX115" s="16" t="n">
        <v>7.9</v>
      </c>
      <c r="AY115" s="16" t="inlineStr">
        <is>
          <t>Casi nunca</t>
        </is>
      </c>
      <c r="AZ115" s="16" t="inlineStr">
        <is>
          <t>Mate</t>
        </is>
      </c>
      <c r="BB115" s="16" t="inlineStr">
        <is>
          <t>A veces</t>
        </is>
      </c>
      <c r="BC115" s="16" t="inlineStr">
        <is>
          <t>No</t>
        </is>
      </c>
      <c r="BD115" s="16" t="inlineStr">
        <is>
          <t>No</t>
        </is>
      </c>
      <c r="BE115" s="16" t="inlineStr">
        <is>
          <t>Parcialmente</t>
        </is>
      </c>
      <c r="BF115" s="16" t="inlineStr">
        <is>
          <t>Ninguna</t>
        </is>
      </c>
      <c r="BG115" s="16" t="inlineStr">
        <is>
          <t>Sistema público</t>
        </is>
      </c>
      <c r="BH115" s="16" t="inlineStr">
        <is>
          <t>Solo cuando me siento mal</t>
        </is>
      </c>
      <c r="BI115" s="16" t="inlineStr">
        <is>
          <t>Sistema privado</t>
        </is>
      </c>
      <c r="BJ115" s="16" t="inlineStr">
        <is>
          <t>No</t>
        </is>
      </c>
      <c r="BL115" s="16" t="inlineStr">
        <is>
          <t>Medicamentos</t>
        </is>
      </c>
      <c r="BM115" s="16" t="inlineStr">
        <is>
          <t>Ibuprofeno</t>
        </is>
      </c>
      <c r="BN115" s="16" t="inlineStr">
        <is>
          <t>Musculoesqueléticos</t>
        </is>
      </c>
      <c r="BP115" s="16" t="inlineStr">
        <is>
          <t>Una vez a la semana</t>
        </is>
      </c>
      <c r="BQ115" s="16" t="inlineStr">
        <is>
          <t>Café</t>
        </is>
      </c>
      <c r="BS115" s="16" t="inlineStr">
        <is>
          <t>No</t>
        </is>
      </c>
      <c r="BT115" s="16" t="inlineStr">
        <is>
          <t>No</t>
        </is>
      </c>
      <c r="BU115" s="16" t="inlineStr">
        <is>
          <t>A veces</t>
        </is>
      </c>
      <c r="BV115" s="16" t="inlineStr">
        <is>
          <t>No</t>
        </is>
      </c>
      <c r="BW115" s="16" t="inlineStr">
        <is>
          <t>No</t>
        </is>
      </c>
      <c r="BX115" s="16" t="inlineStr">
        <is>
          <t>Varón</t>
        </is>
      </c>
      <c r="BY115" s="16" t="n">
        <v>97.5</v>
      </c>
      <c r="BZ115" s="16" t="n">
        <v>1.8</v>
      </c>
      <c r="CA115" s="16" t="n">
        <v>30.1</v>
      </c>
      <c r="CB115" s="16" t="n">
        <v>95</v>
      </c>
      <c r="CC115" s="16" t="n">
        <v>143</v>
      </c>
      <c r="CD115" s="16" t="n">
        <v>91</v>
      </c>
      <c r="CE115" s="16" t="inlineStr">
        <is>
          <t>Sí</t>
        </is>
      </c>
      <c r="CF115" s="16" t="inlineStr">
        <is>
          <t>No</t>
        </is>
      </c>
      <c r="CG115" s="16" t="inlineStr">
        <is>
          <t>No</t>
        </is>
      </c>
      <c r="CH115" s="16" t="inlineStr">
        <is>
          <t>No</t>
        </is>
      </c>
      <c r="CI115" s="16" t="inlineStr">
        <is>
          <t>No</t>
        </is>
      </c>
      <c r="CJ115" s="16" t="inlineStr">
        <is>
          <t>Sí, primer grado</t>
        </is>
      </c>
      <c r="CK115" s="16" t="inlineStr">
        <is>
          <t>Sí</t>
        </is>
      </c>
      <c r="CL115" s="16" t="inlineStr">
        <is>
          <t>Sí</t>
        </is>
      </c>
      <c r="CM115" s="16" t="inlineStr">
        <is>
          <t>07:13</t>
        </is>
      </c>
      <c r="CN115" s="16" t="inlineStr">
        <is>
          <t>Mate</t>
        </is>
      </c>
      <c r="CO115" s="16" t="inlineStr">
        <is>
          <t>11:30</t>
        </is>
      </c>
      <c r="CP115" s="16" t="n">
        <v>182</v>
      </c>
      <c r="CQ115" s="16" t="n">
        <v>257</v>
      </c>
      <c r="CR115" s="16" t="inlineStr">
        <is>
          <t>Sí</t>
        </is>
      </c>
      <c r="CS115" s="16" t="n">
        <v>14</v>
      </c>
      <c r="CT115" s="16" t="inlineStr">
        <is>
          <t>Moderado</t>
        </is>
      </c>
      <c r="CU115" s="16" t="inlineStr">
        <is>
          <t>17 %</t>
        </is>
      </c>
      <c r="CV115" s="16" t="inlineStr">
        <is>
          <t>Sí</t>
        </is>
      </c>
      <c r="CW115" s="16" t="n">
        <v>12</v>
      </c>
      <c r="CX115" s="16" t="inlineStr">
        <is>
          <t>10</t>
        </is>
      </c>
      <c r="CY115" s="16" t="inlineStr">
        <is>
          <t>Moderado</t>
        </is>
      </c>
    </row>
    <row r="116">
      <c r="A116" s="16" t="inlineStr">
        <is>
          <t>demo-115</t>
        </is>
      </c>
      <c r="B116" s="16" t="inlineStr">
        <is>
          <t>A1-0115</t>
        </is>
      </c>
      <c r="C116" s="16" t="inlineStr">
        <is>
          <t>115-66-4500</t>
        </is>
      </c>
      <c r="D116" s="16" t="n">
        <v>115</v>
      </c>
      <c r="E116" s="16" t="n">
        <v>66</v>
      </c>
      <c r="F116" s="16" t="inlineStr">
        <is>
          <t>4500</t>
        </is>
      </c>
      <c r="G116" s="17" t="n">
        <v>46291</v>
      </c>
      <c r="H116" s="16" t="inlineStr">
        <is>
          <t>12:09</t>
        </is>
      </c>
      <c r="J116" s="16" t="inlineStr">
        <is>
          <t>A</t>
        </is>
      </c>
      <c r="K116" s="16" t="inlineStr">
        <is>
          <t>1</t>
        </is>
      </c>
      <c r="L116" s="16" t="inlineStr">
        <is>
          <t>Encuestador A</t>
        </is>
      </c>
      <c r="M116" s="16" t="inlineStr">
        <is>
          <t>Puesto 2</t>
        </is>
      </c>
      <c r="N116" s="16" t="inlineStr">
        <is>
          <t>Sí</t>
        </is>
      </c>
      <c r="O116" s="16" t="inlineStr">
        <is>
          <t>Sí</t>
        </is>
      </c>
      <c r="P116" s="16" t="n">
        <v>39</v>
      </c>
      <c r="Q116" s="16" t="inlineStr">
        <is>
          <t>Sí</t>
        </is>
      </c>
      <c r="R116" s="16" t="inlineStr">
        <is>
          <t>Sí</t>
        </is>
      </c>
      <c r="S116" s="16" t="inlineStr">
        <is>
          <t>Sí</t>
        </is>
      </c>
      <c r="T116" s="16" t="inlineStr">
        <is>
          <t>finalizado</t>
        </is>
      </c>
      <c r="U116" s="16" t="inlineStr">
        <is>
          <t>2026-10-v2</t>
        </is>
      </c>
      <c r="V116" s="16" t="inlineStr">
        <is>
          <t>2026-09-26T15:00:00.000Z</t>
        </is>
      </c>
      <c r="W116" s="16" t="inlineStr">
        <is>
          <t>Argentina</t>
        </is>
      </c>
      <c r="Y116" s="16" t="inlineStr">
        <is>
          <t>Secundaria completa</t>
        </is>
      </c>
      <c r="Z116" s="16" t="inlineStr">
        <is>
          <t>Sí</t>
        </is>
      </c>
      <c r="AA116" s="16" t="inlineStr">
        <is>
          <t>2</t>
        </is>
      </c>
      <c r="AB116" s="16" t="inlineStr">
        <is>
          <t>5</t>
        </is>
      </c>
      <c r="AC116" s="16" t="inlineStr">
        <is>
          <t>Portugués</t>
        </is>
      </c>
      <c r="AE116" s="16" t="inlineStr">
        <is>
          <t>Español</t>
        </is>
      </c>
      <c r="AG116" s="16" t="inlineStr">
        <is>
          <t>Argentina</t>
        </is>
      </c>
      <c r="AI116" s="16" t="inlineStr">
        <is>
          <t>Regular</t>
        </is>
      </c>
      <c r="AJ116" s="16" t="n">
        <v>28</v>
      </c>
      <c r="AK116" s="16" t="inlineStr">
        <is>
          <t>Viaje internacional</t>
        </is>
      </c>
      <c r="AL116" s="16" t="inlineStr">
        <is>
          <t>2 veces por semana</t>
        </is>
      </c>
      <c r="AN116" s="16" t="inlineStr">
        <is>
          <t>3 veces por semana</t>
        </is>
      </c>
      <c r="AP116" s="16" t="inlineStr">
        <is>
          <t>Otro</t>
        </is>
      </c>
      <c r="AR116" s="16" t="inlineStr">
        <is>
          <t>Parcialmente conforme</t>
        </is>
      </c>
      <c r="AS116" s="16" t="inlineStr">
        <is>
          <t>Sí</t>
        </is>
      </c>
      <c r="AT116" s="16" t="n">
        <v>8.9</v>
      </c>
      <c r="AU116" s="16" t="inlineStr">
        <is>
          <t>Sí</t>
        </is>
      </c>
      <c r="AV116" s="16" t="inlineStr">
        <is>
          <t>Estaciones de servicio; En el camión al costado de la ruta</t>
        </is>
      </c>
      <c r="AX116" s="16" t="n">
        <v>4.4</v>
      </c>
      <c r="AY116" s="16" t="inlineStr">
        <is>
          <t>Casi nunca</t>
        </is>
      </c>
      <c r="AZ116" s="16" t="inlineStr">
        <is>
          <t>Jugos artificiales; Café</t>
        </is>
      </c>
      <c r="BB116" s="16" t="inlineStr">
        <is>
          <t>Casi nunca</t>
        </is>
      </c>
      <c r="BC116" s="16" t="inlineStr">
        <is>
          <t>No</t>
        </is>
      </c>
      <c r="BD116" s="16" t="inlineStr">
        <is>
          <t>No</t>
        </is>
      </c>
      <c r="BE116" s="16" t="inlineStr">
        <is>
          <t>Sí</t>
        </is>
      </c>
      <c r="BF116" s="16" t="inlineStr">
        <is>
          <t>Obra social</t>
        </is>
      </c>
      <c r="BG116" s="16" t="inlineStr">
        <is>
          <t>Sistema privado</t>
        </is>
      </c>
      <c r="BH116" s="16" t="inlineStr">
        <is>
          <t>2 veces al año</t>
        </is>
      </c>
      <c r="BI116" s="16" t="inlineStr">
        <is>
          <t>Sistema privado</t>
        </is>
      </c>
      <c r="BJ116" s="16" t="inlineStr">
        <is>
          <t>Sí</t>
        </is>
      </c>
      <c r="BK116" s="16" t="inlineStr">
        <is>
          <t>Lumbar</t>
        </is>
      </c>
      <c r="BL116" s="16" t="inlineStr">
        <is>
          <t>Medicamentos</t>
        </is>
      </c>
      <c r="BM116" s="16" t="inlineStr">
        <is>
          <t>Ibuprofeno</t>
        </is>
      </c>
      <c r="BN116" s="16" t="inlineStr">
        <is>
          <t>Obesidad</t>
        </is>
      </c>
      <c r="BP116" s="16" t="inlineStr">
        <is>
          <t>Rara vez</t>
        </is>
      </c>
      <c r="BQ116" s="16" t="inlineStr">
        <is>
          <t>Yerba mate</t>
        </is>
      </c>
      <c r="BS116" s="16" t="inlineStr">
        <is>
          <t>No</t>
        </is>
      </c>
      <c r="BT116" s="16" t="inlineStr">
        <is>
          <t>No</t>
        </is>
      </c>
      <c r="BU116" s="16" t="inlineStr">
        <is>
          <t>Siempre</t>
        </is>
      </c>
      <c r="BV116" s="16" t="inlineStr">
        <is>
          <t>Sí</t>
        </is>
      </c>
      <c r="BW116" s="16" t="inlineStr">
        <is>
          <t>No</t>
        </is>
      </c>
      <c r="BX116" s="16" t="inlineStr">
        <is>
          <t>Varón</t>
        </is>
      </c>
      <c r="BY116" s="16" t="n">
        <v>117.9</v>
      </c>
      <c r="BZ116" s="16" t="n">
        <v>1.82</v>
      </c>
      <c r="CA116" s="16" t="n">
        <v>35.6</v>
      </c>
      <c r="CB116" s="16" t="n">
        <v>101</v>
      </c>
      <c r="CC116" s="16" t="n">
        <v>148</v>
      </c>
      <c r="CD116" s="16" t="n">
        <v>94</v>
      </c>
      <c r="CE116" s="16" t="inlineStr">
        <is>
          <t>No</t>
        </is>
      </c>
      <c r="CF116" s="16" t="inlineStr">
        <is>
          <t>No</t>
        </is>
      </c>
      <c r="CG116" s="16" t="inlineStr">
        <is>
          <t>No</t>
        </is>
      </c>
      <c r="CH116" s="16" t="inlineStr">
        <is>
          <t>Sí</t>
        </is>
      </c>
      <c r="CI116" s="16" t="inlineStr">
        <is>
          <t>No</t>
        </is>
      </c>
      <c r="CJ116" s="16" t="inlineStr">
        <is>
          <t>Sí, primer grado</t>
        </is>
      </c>
      <c r="CK116" s="16" t="inlineStr">
        <is>
          <t>No</t>
        </is>
      </c>
      <c r="CL116" s="16" t="inlineStr">
        <is>
          <t>Sí</t>
        </is>
      </c>
      <c r="CM116" s="16" t="inlineStr">
        <is>
          <t>07:39</t>
        </is>
      </c>
      <c r="CN116" s="16" t="inlineStr">
        <is>
          <t>Mate</t>
        </is>
      </c>
      <c r="CO116" s="16" t="inlineStr">
        <is>
          <t>10:30</t>
        </is>
      </c>
      <c r="CP116" s="16" t="n">
        <v>157</v>
      </c>
      <c r="CQ116" s="16" t="n">
        <v>171</v>
      </c>
      <c r="CR116" s="16" t="inlineStr">
        <is>
          <t>Sí</t>
        </is>
      </c>
      <c r="CS116" s="16" t="n">
        <v>20</v>
      </c>
      <c r="CT116" s="16" t="inlineStr">
        <is>
          <t>Alto</t>
        </is>
      </c>
      <c r="CU116" s="16" t="inlineStr">
        <is>
          <t>33 %</t>
        </is>
      </c>
      <c r="CV116" s="16" t="inlineStr">
        <is>
          <t>Sí</t>
        </is>
      </c>
      <c r="CW116" s="16" t="n">
        <v>15</v>
      </c>
      <c r="CX116" s="16" t="inlineStr">
        <is>
          <t>20</t>
        </is>
      </c>
      <c r="CY116" s="16" t="inlineStr">
        <is>
          <t>Alto</t>
        </is>
      </c>
    </row>
    <row r="117">
      <c r="A117" s="16" t="inlineStr">
        <is>
          <t>demo-116</t>
        </is>
      </c>
      <c r="B117" s="16" t="inlineStr">
        <is>
          <t>C1-0116</t>
        </is>
      </c>
      <c r="C117" s="16" t="inlineStr">
        <is>
          <t>515-36-4600</t>
        </is>
      </c>
      <c r="D117" s="16" t="n">
        <v>515</v>
      </c>
      <c r="E117" s="16" t="n">
        <v>36</v>
      </c>
      <c r="F117" s="16" t="inlineStr">
        <is>
          <t>4600</t>
        </is>
      </c>
      <c r="G117" s="17" t="n">
        <v>46302</v>
      </c>
      <c r="H117" s="16" t="inlineStr">
        <is>
          <t>10:04</t>
        </is>
      </c>
      <c r="J117" s="16" t="inlineStr">
        <is>
          <t>C</t>
        </is>
      </c>
      <c r="K117" s="16" t="inlineStr">
        <is>
          <t>1</t>
        </is>
      </c>
      <c r="L117" s="16" t="inlineStr">
        <is>
          <t>Encuestador C</t>
        </is>
      </c>
      <c r="M117" s="16" t="inlineStr">
        <is>
          <t>Puesto 1</t>
        </is>
      </c>
      <c r="N117" s="16" t="inlineStr">
        <is>
          <t>Sí</t>
        </is>
      </c>
      <c r="O117" s="16" t="inlineStr">
        <is>
          <t>No</t>
        </is>
      </c>
      <c r="P117" s="16" t="n">
        <v>38</v>
      </c>
      <c r="Q117" s="16" t="inlineStr">
        <is>
          <t>Sí</t>
        </is>
      </c>
      <c r="R117" s="16" t="inlineStr">
        <is>
          <t>Sí</t>
        </is>
      </c>
      <c r="S117" s="16" t="inlineStr">
        <is>
          <t>Sí</t>
        </is>
      </c>
      <c r="T117" s="16" t="inlineStr">
        <is>
          <t>finalizado</t>
        </is>
      </c>
      <c r="U117" s="16" t="inlineStr">
        <is>
          <t>2026-10-v2</t>
        </is>
      </c>
      <c r="V117" s="16" t="inlineStr">
        <is>
          <t>2026-10-07T15:00:00.000Z</t>
        </is>
      </c>
      <c r="W117" s="16" t="inlineStr">
        <is>
          <t>Argentina</t>
        </is>
      </c>
      <c r="Y117" s="16" t="inlineStr">
        <is>
          <t>Secundaria completa</t>
        </is>
      </c>
      <c r="Z117" s="16" t="inlineStr">
        <is>
          <t>Sí</t>
        </is>
      </c>
      <c r="AA117" s="16" t="inlineStr">
        <is>
          <t>5</t>
        </is>
      </c>
      <c r="AB117" s="16" t="inlineStr">
        <is>
          <t>Más de 5</t>
        </is>
      </c>
      <c r="AC117" s="16" t="inlineStr">
        <is>
          <t>Español; Inglés</t>
        </is>
      </c>
      <c r="AE117" s="16" t="inlineStr">
        <is>
          <t>Español</t>
        </is>
      </c>
      <c r="AG117" s="16" t="inlineStr">
        <is>
          <t>Argentina</t>
        </is>
      </c>
      <c r="AI117" s="16" t="inlineStr">
        <is>
          <t>Regular</t>
        </is>
      </c>
      <c r="AJ117" s="16" t="n">
        <v>6</v>
      </c>
      <c r="AK117" s="16" t="inlineStr">
        <is>
          <t>Viaje provincial (Jujuy)</t>
        </is>
      </c>
      <c r="AL117" s="16" t="inlineStr">
        <is>
          <t>2 veces por semana</t>
        </is>
      </c>
      <c r="AN117" s="16" t="inlineStr">
        <is>
          <t>3 veces por semana</t>
        </is>
      </c>
      <c r="AP117" s="16" t="inlineStr">
        <is>
          <t>Dueño del camión</t>
        </is>
      </c>
      <c r="AR117" s="16" t="inlineStr">
        <is>
          <t>Conforme</t>
        </is>
      </c>
      <c r="AS117" s="16" t="inlineStr">
        <is>
          <t>Duda</t>
        </is>
      </c>
      <c r="AT117" s="16" t="n">
        <v>7.9</v>
      </c>
      <c r="AU117" s="16" t="inlineStr">
        <is>
          <t>Sí</t>
        </is>
      </c>
      <c r="AV117" s="16" t="inlineStr">
        <is>
          <t>Paradores</t>
        </is>
      </c>
      <c r="AX117" s="16" t="n">
        <v>4.4</v>
      </c>
      <c r="AY117" s="16" t="inlineStr">
        <is>
          <t>Nunca</t>
        </is>
      </c>
      <c r="AZ117" s="16" t="inlineStr">
        <is>
          <t>Café; Gaseosas</t>
        </is>
      </c>
      <c r="BB117" s="16" t="inlineStr">
        <is>
          <t>Casi nunca</t>
        </is>
      </c>
      <c r="BC117" s="16" t="inlineStr">
        <is>
          <t>Rara vez</t>
        </is>
      </c>
      <c r="BD117" s="16" t="inlineStr">
        <is>
          <t>No</t>
        </is>
      </c>
      <c r="BE117" s="16" t="inlineStr">
        <is>
          <t>Sí</t>
        </is>
      </c>
      <c r="BF117" s="16" t="inlineStr">
        <is>
          <t>Ninguna</t>
        </is>
      </c>
      <c r="BG117" s="16" t="inlineStr">
        <is>
          <t>Ninguno</t>
        </is>
      </c>
      <c r="BH117" s="16" t="inlineStr">
        <is>
          <t>Solo cuando me siento mal</t>
        </is>
      </c>
      <c r="BI117" s="16" t="inlineStr">
        <is>
          <t>Sistema privado</t>
        </is>
      </c>
      <c r="BJ117" s="16" t="inlineStr">
        <is>
          <t>Sí</t>
        </is>
      </c>
      <c r="BK117" s="16" t="inlineStr">
        <is>
          <t>Lumbar</t>
        </is>
      </c>
      <c r="BL117" s="16" t="inlineStr">
        <is>
          <t>Ninguno</t>
        </is>
      </c>
      <c r="BN117" s="16" t="inlineStr">
        <is>
          <t>No tengo diagnóstico de enfermedad</t>
        </is>
      </c>
      <c r="BP117" s="16" t="inlineStr">
        <is>
          <t>Nunca</t>
        </is>
      </c>
      <c r="BQ117" s="16" t="inlineStr">
        <is>
          <t>Energizantes (Speed, Monster, Red Bull, etc.)</t>
        </is>
      </c>
      <c r="BS117" s="16" t="inlineStr">
        <is>
          <t>No</t>
        </is>
      </c>
      <c r="BT117" s="16" t="inlineStr">
        <is>
          <t>Sí</t>
        </is>
      </c>
      <c r="BU117" s="16" t="inlineStr">
        <is>
          <t>A veces</t>
        </is>
      </c>
      <c r="BV117" s="16" t="inlineStr">
        <is>
          <t>Sí</t>
        </is>
      </c>
      <c r="BW117" s="16" t="inlineStr">
        <is>
          <t>No</t>
        </is>
      </c>
      <c r="BX117" s="16" t="inlineStr">
        <is>
          <t>Varón</t>
        </is>
      </c>
      <c r="BY117" s="16" t="n">
        <v>102.4</v>
      </c>
      <c r="BZ117" s="16" t="n">
        <v>1.82</v>
      </c>
      <c r="CA117" s="16" t="n">
        <v>30.9</v>
      </c>
      <c r="CB117" s="16" t="n">
        <v>100</v>
      </c>
      <c r="CC117" s="16" t="n">
        <v>124</v>
      </c>
      <c r="CD117" s="16" t="n">
        <v>79</v>
      </c>
      <c r="CE117" s="16" t="inlineStr">
        <is>
          <t>No</t>
        </is>
      </c>
      <c r="CF117" s="16" t="inlineStr">
        <is>
          <t>No</t>
        </is>
      </c>
      <c r="CG117" s="16" t="inlineStr">
        <is>
          <t>No</t>
        </is>
      </c>
      <c r="CH117" s="16" t="inlineStr">
        <is>
          <t>Sí</t>
        </is>
      </c>
      <c r="CI117" s="16" t="inlineStr">
        <is>
          <t>No</t>
        </is>
      </c>
      <c r="CJ117" s="16" t="inlineStr">
        <is>
          <t>No</t>
        </is>
      </c>
      <c r="CK117" s="16" t="inlineStr">
        <is>
          <t>Sí</t>
        </is>
      </c>
      <c r="CL117" s="16" t="inlineStr">
        <is>
          <t>Sí</t>
        </is>
      </c>
      <c r="CM117" s="16" t="inlineStr">
        <is>
          <t>07:31</t>
        </is>
      </c>
      <c r="CN117" s="16" t="inlineStr">
        <is>
          <t>Mate</t>
        </is>
      </c>
      <c r="CO117" s="16" t="inlineStr">
        <is>
          <t>12:30</t>
        </is>
      </c>
      <c r="CP117" s="16" t="n">
        <v>148</v>
      </c>
      <c r="CQ117" s="16" t="n">
        <v>299</v>
      </c>
      <c r="CR117" s="16" t="inlineStr">
        <is>
          <t>Sí</t>
        </is>
      </c>
      <c r="CS117" s="16" t="n">
        <v>11</v>
      </c>
      <c r="CT117" s="16" t="inlineStr">
        <is>
          <t>Ligeramente elevado</t>
        </is>
      </c>
      <c r="CU117" s="16" t="inlineStr">
        <is>
          <t>4 %</t>
        </is>
      </c>
      <c r="CV117" s="16" t="inlineStr">
        <is>
          <t>Sí</t>
        </is>
      </c>
      <c r="CW117" s="16" t="n">
        <v>8</v>
      </c>
      <c r="CX117" s="16" t="inlineStr">
        <is>
          <t>4</t>
        </is>
      </c>
      <c r="CY117" s="16" t="inlineStr">
        <is>
          <t>Bajo</t>
        </is>
      </c>
    </row>
    <row r="118">
      <c r="A118" s="16" t="inlineStr">
        <is>
          <t>demo-117</t>
        </is>
      </c>
      <c r="B118" s="16" t="inlineStr">
        <is>
          <t>C1-0117</t>
        </is>
      </c>
      <c r="C118" s="16" t="inlineStr">
        <is>
          <t>516-62-4600</t>
        </is>
      </c>
      <c r="D118" s="16" t="n">
        <v>516</v>
      </c>
      <c r="E118" s="16" t="n">
        <v>62</v>
      </c>
      <c r="F118" s="16" t="inlineStr">
        <is>
          <t>4600</t>
        </is>
      </c>
      <c r="G118" s="17" t="n">
        <v>46294</v>
      </c>
      <c r="H118" s="16" t="inlineStr">
        <is>
          <t>15:04</t>
        </is>
      </c>
      <c r="J118" s="16" t="inlineStr">
        <is>
          <t>C</t>
        </is>
      </c>
      <c r="K118" s="16" t="inlineStr">
        <is>
          <t>1</t>
        </is>
      </c>
      <c r="L118" s="16" t="inlineStr">
        <is>
          <t>Encuestador C</t>
        </is>
      </c>
      <c r="M118" s="16" t="inlineStr">
        <is>
          <t>Puesto 2</t>
        </is>
      </c>
      <c r="N118" s="16" t="inlineStr">
        <is>
          <t>Sí</t>
        </is>
      </c>
      <c r="O118" s="16" t="inlineStr">
        <is>
          <t>No</t>
        </is>
      </c>
      <c r="P118" s="16" t="n">
        <v>39</v>
      </c>
      <c r="Q118" s="16" t="inlineStr">
        <is>
          <t>Sí</t>
        </is>
      </c>
      <c r="R118" s="16" t="inlineStr">
        <is>
          <t>Sí</t>
        </is>
      </c>
      <c r="S118" s="16" t="inlineStr">
        <is>
          <t>Sí</t>
        </is>
      </c>
      <c r="T118" s="16" t="inlineStr">
        <is>
          <t>finalizado</t>
        </is>
      </c>
      <c r="U118" s="16" t="inlineStr">
        <is>
          <t>2026-10-v2</t>
        </is>
      </c>
      <c r="V118" s="16" t="inlineStr">
        <is>
          <t>2026-09-29T15:00:00.000Z</t>
        </is>
      </c>
      <c r="W118" s="16" t="inlineStr">
        <is>
          <t>Argentina</t>
        </is>
      </c>
      <c r="Y118" s="16" t="inlineStr">
        <is>
          <t>Secundaria incompleta</t>
        </is>
      </c>
      <c r="Z118" s="16" t="inlineStr">
        <is>
          <t>Sí</t>
        </is>
      </c>
      <c r="AA118" s="16" t="inlineStr">
        <is>
          <t>4</t>
        </is>
      </c>
      <c r="AB118" s="16" t="inlineStr">
        <is>
          <t>2</t>
        </is>
      </c>
      <c r="AC118" s="16" t="inlineStr">
        <is>
          <t>Español</t>
        </is>
      </c>
      <c r="AE118" s="16" t="inlineStr">
        <is>
          <t>Español</t>
        </is>
      </c>
      <c r="AG118" s="16" t="inlineStr">
        <is>
          <t>Argentina</t>
        </is>
      </c>
      <c r="AI118" s="16" t="inlineStr">
        <is>
          <t>Regular</t>
        </is>
      </c>
      <c r="AJ118" s="16" t="n">
        <v>7</v>
      </c>
      <c r="AK118" s="16" t="inlineStr">
        <is>
          <t>Viaje interprovincial</t>
        </is>
      </c>
      <c r="AL118" s="16" t="inlineStr">
        <is>
          <t>Una vez al mes</t>
        </is>
      </c>
      <c r="AN118" s="16" t="inlineStr">
        <is>
          <t>Diariamente</t>
        </is>
      </c>
      <c r="AP118" s="16" t="inlineStr">
        <is>
          <t>Otro</t>
        </is>
      </c>
      <c r="AR118" s="16" t="inlineStr">
        <is>
          <t>Parcialmente conforme</t>
        </is>
      </c>
      <c r="AS118" s="16" t="inlineStr">
        <is>
          <t>Sí</t>
        </is>
      </c>
      <c r="AT118" s="16" t="n">
        <v>5.1</v>
      </c>
      <c r="AU118" s="16" t="inlineStr">
        <is>
          <t>Sí</t>
        </is>
      </c>
      <c r="AV118" s="16" t="inlineStr">
        <is>
          <t>Paradores; Estaciones de servicio</t>
        </is>
      </c>
      <c r="AX118" s="16" t="n">
        <v>4.5</v>
      </c>
      <c r="AY118" s="16" t="inlineStr">
        <is>
          <t>Varias veces por semana</t>
        </is>
      </c>
      <c r="AZ118" s="16" t="inlineStr">
        <is>
          <t>Gaseosas</t>
        </is>
      </c>
      <c r="BB118" s="16" t="inlineStr">
        <is>
          <t>Nunca</t>
        </is>
      </c>
      <c r="BC118" s="16" t="inlineStr">
        <is>
          <t>Sí</t>
        </is>
      </c>
      <c r="BD118" s="16" t="inlineStr">
        <is>
          <t>No</t>
        </is>
      </c>
      <c r="BE118" s="16" t="inlineStr">
        <is>
          <t>Sí</t>
        </is>
      </c>
      <c r="BF118" s="16" t="inlineStr">
        <is>
          <t>Ninguna</t>
        </is>
      </c>
      <c r="BG118" s="16" t="inlineStr">
        <is>
          <t>Sistema público</t>
        </is>
      </c>
      <c r="BH118" s="16" t="inlineStr">
        <is>
          <t>Una vez al año</t>
        </is>
      </c>
      <c r="BI118" s="16" t="inlineStr">
        <is>
          <t>Sistema público; Otros (medicina tradicional, alternativa, etc.)</t>
        </is>
      </c>
      <c r="BJ118" s="16" t="inlineStr">
        <is>
          <t>Sí</t>
        </is>
      </c>
      <c r="BK118" s="16" t="inlineStr">
        <is>
          <t>Cervical</t>
        </is>
      </c>
      <c r="BL118" s="16" t="inlineStr">
        <is>
          <t>Medicamentos; Hierbas</t>
        </is>
      </c>
      <c r="BM118" s="16" t="inlineStr">
        <is>
          <t>Ibuprofeno</t>
        </is>
      </c>
      <c r="BN118" s="16" t="inlineStr">
        <is>
          <t>Obesidad</t>
        </is>
      </c>
      <c r="BP118" s="16" t="inlineStr">
        <is>
          <t>Rara vez</t>
        </is>
      </c>
      <c r="BQ118" s="16" t="inlineStr">
        <is>
          <t>Café; Coca-Cola</t>
        </is>
      </c>
      <c r="BS118" s="16" t="inlineStr">
        <is>
          <t>Sí</t>
        </is>
      </c>
      <c r="BT118" s="16" t="inlineStr">
        <is>
          <t>No</t>
        </is>
      </c>
      <c r="BU118" s="16" t="inlineStr">
        <is>
          <t>Siempre</t>
        </is>
      </c>
      <c r="BV118" s="16" t="inlineStr">
        <is>
          <t>No</t>
        </is>
      </c>
      <c r="BW118" s="16" t="inlineStr">
        <is>
          <t>No</t>
        </is>
      </c>
      <c r="BX118" s="16" t="inlineStr">
        <is>
          <t>Varón</t>
        </is>
      </c>
      <c r="BY118" s="16" t="n">
        <v>103.2</v>
      </c>
      <c r="BZ118" s="16" t="n">
        <v>1.79</v>
      </c>
      <c r="CA118" s="16" t="n">
        <v>32.2</v>
      </c>
      <c r="CB118" s="16" t="n">
        <v>111</v>
      </c>
      <c r="CC118" s="16" t="n">
        <v>141</v>
      </c>
      <c r="CD118" s="16" t="n">
        <v>89</v>
      </c>
      <c r="CE118" s="16" t="inlineStr">
        <is>
          <t>No</t>
        </is>
      </c>
      <c r="CF118" s="16" t="inlineStr">
        <is>
          <t>No</t>
        </is>
      </c>
      <c r="CG118" s="16" t="inlineStr">
        <is>
          <t>Sí</t>
        </is>
      </c>
      <c r="CH118" s="16" t="inlineStr">
        <is>
          <t>Sí</t>
        </is>
      </c>
      <c r="CI118" s="16" t="inlineStr">
        <is>
          <t>No</t>
        </is>
      </c>
      <c r="CJ118" s="16" t="inlineStr">
        <is>
          <t>No</t>
        </is>
      </c>
      <c r="CK118" s="16" t="inlineStr">
        <is>
          <t>No</t>
        </is>
      </c>
      <c r="CL118" s="16" t="inlineStr">
        <is>
          <t>Sí</t>
        </is>
      </c>
      <c r="CM118" s="16" t="inlineStr">
        <is>
          <t>07:31</t>
        </is>
      </c>
      <c r="CN118" s="16" t="inlineStr">
        <is>
          <t>Mate</t>
        </is>
      </c>
      <c r="CO118" s="16" t="inlineStr">
        <is>
          <t>11:30</t>
        </is>
      </c>
      <c r="CP118" s="16" t="n">
        <v>83</v>
      </c>
      <c r="CQ118" s="16" t="n">
        <v>239</v>
      </c>
      <c r="CR118" s="16" t="inlineStr">
        <is>
          <t>Sí</t>
        </is>
      </c>
      <c r="CS118" s="16" t="n">
        <v>15</v>
      </c>
      <c r="CT118" s="16" t="inlineStr">
        <is>
          <t>Alto</t>
        </is>
      </c>
      <c r="CU118" s="16" t="inlineStr">
        <is>
          <t>33 %</t>
        </is>
      </c>
      <c r="CV118" s="16" t="inlineStr">
        <is>
          <t>Sí</t>
        </is>
      </c>
      <c r="CW118" s="16" t="n">
        <v>14</v>
      </c>
      <c r="CX118" s="16" t="inlineStr">
        <is>
          <t>16</t>
        </is>
      </c>
      <c r="CY118" s="16" t="inlineStr">
        <is>
          <t>Moderado</t>
        </is>
      </c>
    </row>
    <row r="119">
      <c r="A119" s="16" t="inlineStr">
        <is>
          <t>demo-118</t>
        </is>
      </c>
      <c r="B119" s="16" t="inlineStr">
        <is>
          <t>A1-0118</t>
        </is>
      </c>
      <c r="C119" s="16" t="inlineStr">
        <is>
          <t>118-32-4600</t>
        </is>
      </c>
      <c r="D119" s="16" t="n">
        <v>118</v>
      </c>
      <c r="E119" s="16" t="n">
        <v>32</v>
      </c>
      <c r="F119" s="16" t="inlineStr">
        <is>
          <t>4600</t>
        </is>
      </c>
      <c r="G119" s="17" t="n">
        <v>46291</v>
      </c>
      <c r="H119" s="16" t="inlineStr">
        <is>
          <t>13:02</t>
        </is>
      </c>
      <c r="J119" s="16" t="inlineStr">
        <is>
          <t>A</t>
        </is>
      </c>
      <c r="K119" s="16" t="inlineStr">
        <is>
          <t>1</t>
        </is>
      </c>
      <c r="L119" s="16" t="inlineStr">
        <is>
          <t>Encuestador A</t>
        </is>
      </c>
      <c r="M119" s="16" t="inlineStr">
        <is>
          <t>Puesto 1</t>
        </is>
      </c>
      <c r="N119" s="16" t="inlineStr">
        <is>
          <t>Sí</t>
        </is>
      </c>
      <c r="O119" s="16" t="inlineStr">
        <is>
          <t>Sí</t>
        </is>
      </c>
      <c r="P119" s="16" t="n">
        <v>39</v>
      </c>
      <c r="Q119" s="16" t="inlineStr">
        <is>
          <t>Sí</t>
        </is>
      </c>
      <c r="R119" s="16" t="inlineStr">
        <is>
          <t>Sí</t>
        </is>
      </c>
      <c r="S119" s="16" t="inlineStr">
        <is>
          <t>Sí</t>
        </is>
      </c>
      <c r="T119" s="16" t="inlineStr">
        <is>
          <t>finalizado</t>
        </is>
      </c>
      <c r="U119" s="16" t="inlineStr">
        <is>
          <t>2026-10-v2</t>
        </is>
      </c>
      <c r="V119" s="16" t="inlineStr">
        <is>
          <t>2026-09-26T15:00:00.000Z</t>
        </is>
      </c>
      <c r="W119" s="16" t="inlineStr">
        <is>
          <t>Paraguay</t>
        </is>
      </c>
      <c r="Y119" s="16" t="inlineStr">
        <is>
          <t>Terciario completo</t>
        </is>
      </c>
      <c r="Z119" s="16" t="inlineStr">
        <is>
          <t>Sí</t>
        </is>
      </c>
      <c r="AA119" s="16" t="inlineStr">
        <is>
          <t>4</t>
        </is>
      </c>
      <c r="AB119" s="16" t="inlineStr">
        <is>
          <t>3</t>
        </is>
      </c>
      <c r="AC119" s="16" t="inlineStr">
        <is>
          <t>Español</t>
        </is>
      </c>
      <c r="AE119" s="16" t="inlineStr">
        <is>
          <t>Español</t>
        </is>
      </c>
      <c r="AG119" s="16" t="inlineStr">
        <is>
          <t>Argentina</t>
        </is>
      </c>
      <c r="AI119" s="16" t="inlineStr">
        <is>
          <t>Regular</t>
        </is>
      </c>
      <c r="AJ119" s="16" t="n">
        <v>2</v>
      </c>
      <c r="AK119" s="16" t="inlineStr">
        <is>
          <t>Viaje internacional</t>
        </is>
      </c>
      <c r="AL119" s="16" t="inlineStr">
        <is>
          <t>2 veces por semana</t>
        </is>
      </c>
      <c r="AN119" s="16" t="inlineStr">
        <is>
          <t>Diariamente</t>
        </is>
      </c>
      <c r="AP119" s="16" t="inlineStr">
        <is>
          <t>Otro</t>
        </is>
      </c>
      <c r="AR119" s="16" t="inlineStr">
        <is>
          <t>Conforme</t>
        </is>
      </c>
      <c r="AS119" s="16" t="inlineStr">
        <is>
          <t>Sí</t>
        </is>
      </c>
      <c r="AT119" s="16" t="n">
        <v>6.4</v>
      </c>
      <c r="AU119" s="16" t="inlineStr">
        <is>
          <t>Sí</t>
        </is>
      </c>
      <c r="AV119" s="16" t="inlineStr">
        <is>
          <t>Paradores; En el camión al costado de la ruta</t>
        </is>
      </c>
      <c r="AX119" s="16" t="n">
        <v>4.3</v>
      </c>
      <c r="AY119" s="16" t="inlineStr">
        <is>
          <t>Casi nunca</t>
        </is>
      </c>
      <c r="AZ119" s="16" t="inlineStr">
        <is>
          <t>Café; Jugos artificiales</t>
        </is>
      </c>
      <c r="BB119" s="16" t="inlineStr">
        <is>
          <t>A veces</t>
        </is>
      </c>
      <c r="BC119" s="16" t="inlineStr">
        <is>
          <t>Rara vez</t>
        </is>
      </c>
      <c r="BD119" s="16" t="inlineStr">
        <is>
          <t>No</t>
        </is>
      </c>
      <c r="BE119" s="16" t="inlineStr">
        <is>
          <t>Parcialmente</t>
        </is>
      </c>
      <c r="BF119" s="16" t="inlineStr">
        <is>
          <t>Obra social</t>
        </is>
      </c>
      <c r="BG119" s="16" t="inlineStr">
        <is>
          <t>Sistema público</t>
        </is>
      </c>
      <c r="BH119" s="16" t="inlineStr">
        <is>
          <t>2 veces al año</t>
        </is>
      </c>
      <c r="BI119" s="16" t="inlineStr">
        <is>
          <t>Sistema público</t>
        </is>
      </c>
      <c r="BJ119" s="16" t="inlineStr">
        <is>
          <t>Sí</t>
        </is>
      </c>
      <c r="BK119" s="16" t="inlineStr">
        <is>
          <t>Lumbar</t>
        </is>
      </c>
      <c r="BL119" s="16" t="inlineStr">
        <is>
          <t>Medicamentos; Hierbas</t>
        </is>
      </c>
      <c r="BM119" s="16" t="inlineStr">
        <is>
          <t>Ibuprofeno</t>
        </is>
      </c>
      <c r="BN119" s="16" t="inlineStr">
        <is>
          <t>Obesidad</t>
        </is>
      </c>
      <c r="BP119" s="16" t="inlineStr">
        <is>
          <t>2 a 3 veces por semana</t>
        </is>
      </c>
      <c r="BQ119" s="16" t="inlineStr">
        <is>
          <t>Energizantes (Speed, Monster, Red Bull, etc.)</t>
        </is>
      </c>
      <c r="BS119" s="16" t="inlineStr">
        <is>
          <t>Sí</t>
        </is>
      </c>
      <c r="BT119" s="16" t="inlineStr">
        <is>
          <t>No</t>
        </is>
      </c>
      <c r="BU119" s="16" t="inlineStr">
        <is>
          <t>Nunca</t>
        </is>
      </c>
      <c r="BV119" s="16" t="inlineStr">
        <is>
          <t>Sí</t>
        </is>
      </c>
      <c r="BW119" s="16" t="inlineStr">
        <is>
          <t>No</t>
        </is>
      </c>
      <c r="BX119" s="16" t="inlineStr">
        <is>
          <t>Varón</t>
        </is>
      </c>
      <c r="BY119" s="16" t="n">
        <v>82.7</v>
      </c>
      <c r="BZ119" s="16" t="n">
        <v>1.68</v>
      </c>
      <c r="CA119" s="16" t="n">
        <v>29.3</v>
      </c>
      <c r="CB119" s="16" t="n">
        <v>99</v>
      </c>
      <c r="CC119" s="16" t="n">
        <v>144</v>
      </c>
      <c r="CD119" s="16" t="n">
        <v>91</v>
      </c>
      <c r="CE119" s="16" t="inlineStr">
        <is>
          <t>No</t>
        </is>
      </c>
      <c r="CF119" s="16" t="inlineStr">
        <is>
          <t>Sí</t>
        </is>
      </c>
      <c r="CG119" s="16" t="inlineStr">
        <is>
          <t>No</t>
        </is>
      </c>
      <c r="CH119" s="16" t="inlineStr">
        <is>
          <t>No</t>
        </is>
      </c>
      <c r="CI119" s="16" t="inlineStr">
        <is>
          <t>No</t>
        </is>
      </c>
      <c r="CJ119" s="16" t="inlineStr">
        <is>
          <t>No</t>
        </is>
      </c>
      <c r="CK119" s="16" t="inlineStr">
        <is>
          <t>Sí</t>
        </is>
      </c>
      <c r="CL119" s="16" t="inlineStr">
        <is>
          <t>Sí</t>
        </is>
      </c>
      <c r="CM119" s="16" t="inlineStr">
        <is>
          <t>07:39</t>
        </is>
      </c>
      <c r="CN119" s="16" t="inlineStr">
        <is>
          <t>Mate</t>
        </is>
      </c>
      <c r="CO119" s="16" t="inlineStr">
        <is>
          <t>12:30</t>
        </is>
      </c>
      <c r="CP119" s="16" t="n">
        <v>79</v>
      </c>
      <c r="CQ119" s="16" t="n">
        <v>291</v>
      </c>
      <c r="CR119" s="16" t="inlineStr">
        <is>
          <t>Sí</t>
        </is>
      </c>
      <c r="CS119" s="16" t="n">
        <v>6</v>
      </c>
      <c r="CT119" s="16" t="inlineStr">
        <is>
          <t>Bajo</t>
        </is>
      </c>
      <c r="CU119" s="16" t="inlineStr">
        <is>
          <t>1 %</t>
        </is>
      </c>
      <c r="CV119" s="16" t="inlineStr">
        <is>
          <t>Sí</t>
        </is>
      </c>
      <c r="CW119" s="16" t="n">
        <v>1</v>
      </c>
      <c r="CX119" s="16" t="inlineStr">
        <is>
          <t>1</t>
        </is>
      </c>
      <c r="CY119" s="16" t="inlineStr">
        <is>
          <t>Bajo</t>
        </is>
      </c>
    </row>
    <row r="120">
      <c r="A120" s="16" t="inlineStr">
        <is>
          <t>demo-119</t>
        </is>
      </c>
      <c r="B120" s="16" t="inlineStr">
        <is>
          <t>A1-0119</t>
        </is>
      </c>
      <c r="C120" s="16" t="inlineStr">
        <is>
          <t>119-42-4400</t>
        </is>
      </c>
      <c r="D120" s="16" t="n">
        <v>119</v>
      </c>
      <c r="E120" s="16" t="n">
        <v>42</v>
      </c>
      <c r="F120" s="16" t="inlineStr">
        <is>
          <t>4400</t>
        </is>
      </c>
      <c r="G120" s="17" t="n">
        <v>46290</v>
      </c>
      <c r="H120" s="16" t="inlineStr">
        <is>
          <t>11:08</t>
        </is>
      </c>
      <c r="J120" s="16" t="inlineStr">
        <is>
          <t>A</t>
        </is>
      </c>
      <c r="K120" s="16" t="inlineStr">
        <is>
          <t>1</t>
        </is>
      </c>
      <c r="L120" s="16" t="inlineStr">
        <is>
          <t>Encuestador A</t>
        </is>
      </c>
      <c r="M120" s="16" t="inlineStr">
        <is>
          <t>Puesto 2</t>
        </is>
      </c>
      <c r="N120" s="16" t="inlineStr">
        <is>
          <t>Sí</t>
        </is>
      </c>
      <c r="O120" s="16" t="inlineStr">
        <is>
          <t>No</t>
        </is>
      </c>
      <c r="P120" s="16" t="n">
        <v>39</v>
      </c>
      <c r="Q120" s="16" t="inlineStr">
        <is>
          <t>Sí</t>
        </is>
      </c>
      <c r="R120" s="16" t="inlineStr">
        <is>
          <t>Sí</t>
        </is>
      </c>
      <c r="S120" s="16" t="inlineStr">
        <is>
          <t>Sí</t>
        </is>
      </c>
      <c r="T120" s="16" t="inlineStr">
        <is>
          <t>borrador</t>
        </is>
      </c>
      <c r="U120" s="16" t="inlineStr">
        <is>
          <t>2026-10-v2</t>
        </is>
      </c>
      <c r="V120" s="16" t="inlineStr">
        <is>
          <t>2026-09-25T15:00:00.000Z</t>
        </is>
      </c>
      <c r="W120" s="16" t="inlineStr">
        <is>
          <t>Chile</t>
        </is>
      </c>
      <c r="Y120" s="16" t="inlineStr">
        <is>
          <t>Universitario completo</t>
        </is>
      </c>
      <c r="Z120" s="16" t="inlineStr">
        <is>
          <t>No</t>
        </is>
      </c>
      <c r="AA120" s="16" t="inlineStr">
        <is>
          <t>Más de 5</t>
        </is>
      </c>
      <c r="AB120" s="16" t="inlineStr">
        <is>
          <t>3</t>
        </is>
      </c>
      <c r="AC120" s="16" t="inlineStr">
        <is>
          <t>Portugués; Inglés</t>
        </is>
      </c>
      <c r="AE120" s="16" t="inlineStr">
        <is>
          <t>Español</t>
        </is>
      </c>
      <c r="AG120" s="16" t="inlineStr">
        <is>
          <t>Argentina</t>
        </is>
      </c>
      <c r="AI120" s="16" t="inlineStr">
        <is>
          <t>Regular</t>
        </is>
      </c>
      <c r="AJ120" s="16" t="n">
        <v>12</v>
      </c>
      <c r="AK120" s="16" t="inlineStr">
        <is>
          <t>Viaje internacional</t>
        </is>
      </c>
      <c r="AL120" s="16" t="inlineStr">
        <is>
          <t>Una vez a la semana</t>
        </is>
      </c>
      <c r="AN120" s="16" t="inlineStr">
        <is>
          <t>Una vez a la semana</t>
        </is>
      </c>
      <c r="AP120" s="16" t="inlineStr">
        <is>
          <t>Otro</t>
        </is>
      </c>
      <c r="AR120" s="16" t="inlineStr">
        <is>
          <t>Disconforme</t>
        </is>
      </c>
      <c r="AS120" s="16" t="inlineStr">
        <is>
          <t>Sí</t>
        </is>
      </c>
      <c r="AT120" s="16" t="n">
        <v>8</v>
      </c>
      <c r="AU120" s="16" t="inlineStr">
        <is>
          <t>Sí</t>
        </is>
      </c>
      <c r="AV120" s="16" t="inlineStr">
        <is>
          <t>Estaciones de servicio</t>
        </is>
      </c>
      <c r="AX120" s="16" t="n">
        <v>7.3</v>
      </c>
      <c r="AY120" s="16" t="inlineStr">
        <is>
          <t>Todos los días</t>
        </is>
      </c>
      <c r="AZ120" s="16" t="inlineStr">
        <is>
          <t>Jugos artificiales</t>
        </is>
      </c>
      <c r="BB120" s="16" t="inlineStr">
        <is>
          <t>Casi nunca</t>
        </is>
      </c>
      <c r="BC120" s="16" t="inlineStr">
        <is>
          <t>Rara vez</t>
        </is>
      </c>
      <c r="BD120" s="16" t="inlineStr">
        <is>
          <t>No</t>
        </is>
      </c>
      <c r="BE120" s="16" t="inlineStr">
        <is>
          <t>No</t>
        </is>
      </c>
      <c r="BF120" s="16" t="inlineStr">
        <is>
          <t>Seguro de salud</t>
        </is>
      </c>
      <c r="BG120" s="16" t="inlineStr">
        <is>
          <t>Sistema privado</t>
        </is>
      </c>
      <c r="BH120" s="16" t="inlineStr">
        <is>
          <t>Una vez al año</t>
        </is>
      </c>
      <c r="BI120" s="16" t="inlineStr">
        <is>
          <t>Sistema público; Otros (medicina tradicional, alternativa, etc.)</t>
        </is>
      </c>
      <c r="BJ120" s="16" t="inlineStr">
        <is>
          <t>Sí</t>
        </is>
      </c>
      <c r="BK120" s="16" t="inlineStr">
        <is>
          <t>Rodillas</t>
        </is>
      </c>
      <c r="BL120" s="16" t="inlineStr">
        <is>
          <t>Medicamentos; Hierbas</t>
        </is>
      </c>
      <c r="BM120" s="16" t="inlineStr">
        <is>
          <t>Ibuprofeno</t>
        </is>
      </c>
      <c r="BN120" s="16" t="inlineStr">
        <is>
          <t>Obesidad</t>
        </is>
      </c>
      <c r="BP120" s="16" t="inlineStr">
        <is>
          <t>2 a 3 veces por semana</t>
        </is>
      </c>
      <c r="BQ120" s="16" t="inlineStr">
        <is>
          <t>Yerba mate</t>
        </is>
      </c>
      <c r="BS120" s="16" t="inlineStr">
        <is>
          <t>Sí</t>
        </is>
      </c>
      <c r="BT120" s="16" t="inlineStr">
        <is>
          <t>Sí</t>
        </is>
      </c>
      <c r="BU120" s="16" t="inlineStr">
        <is>
          <t>Nunca</t>
        </is>
      </c>
      <c r="BV120" s="16" t="inlineStr">
        <is>
          <t>No</t>
        </is>
      </c>
      <c r="BW120" s="16" t="inlineStr">
        <is>
          <t>No</t>
        </is>
      </c>
      <c r="BX120" s="16" t="inlineStr">
        <is>
          <t>Varón</t>
        </is>
      </c>
      <c r="BY120" s="16" t="n">
        <v>76.2</v>
      </c>
      <c r="BZ120" s="16" t="n">
        <v>1.84</v>
      </c>
      <c r="CA120" s="16" t="n">
        <v>22.5</v>
      </c>
      <c r="CB120" s="16" t="n">
        <v>102</v>
      </c>
      <c r="CC120" s="16" t="n">
        <v>140</v>
      </c>
      <c r="CD120" s="16" t="n">
        <v>89</v>
      </c>
      <c r="CE120" s="16" t="inlineStr">
        <is>
          <t>Sí</t>
        </is>
      </c>
      <c r="CF120" s="16" t="inlineStr">
        <is>
          <t>Sí</t>
        </is>
      </c>
      <c r="CG120" s="16" t="inlineStr">
        <is>
          <t>No</t>
        </is>
      </c>
      <c r="CH120" s="16" t="inlineStr">
        <is>
          <t>No</t>
        </is>
      </c>
      <c r="CI120" s="16" t="inlineStr">
        <is>
          <t>No</t>
        </is>
      </c>
      <c r="CJ120" s="16" t="inlineStr">
        <is>
          <t>Sí, primer grado</t>
        </is>
      </c>
      <c r="CK120" s="16" t="inlineStr">
        <is>
          <t>No</t>
        </is>
      </c>
      <c r="CL120" s="16" t="inlineStr">
        <is>
          <t>Sí</t>
        </is>
      </c>
      <c r="CM120" s="16" t="inlineStr">
        <is>
          <t>07:49</t>
        </is>
      </c>
      <c r="CN120" s="16" t="inlineStr">
        <is>
          <t>Mate</t>
        </is>
      </c>
      <c r="CO120" s="16" t="inlineStr">
        <is>
          <t>13:30</t>
        </is>
      </c>
      <c r="CP120" s="16" t="n">
        <v>108</v>
      </c>
      <c r="CQ120" s="16" t="n">
        <v>341</v>
      </c>
      <c r="CR120" s="16" t="inlineStr">
        <is>
          <t>Sí</t>
        </is>
      </c>
      <c r="CS120" s="16" t="n">
        <v>8</v>
      </c>
      <c r="CT120" s="16" t="inlineStr">
        <is>
          <t>Ligeramente elevado</t>
        </is>
      </c>
      <c r="CU120" s="16" t="inlineStr">
        <is>
          <t>4 %</t>
        </is>
      </c>
      <c r="CV120" s="16" t="inlineStr">
        <is>
          <t>Sí</t>
        </is>
      </c>
      <c r="CW120" s="16" t="n">
        <v>1</v>
      </c>
      <c r="CX120" s="16" t="inlineStr">
        <is>
          <t>1</t>
        </is>
      </c>
      <c r="CY120" s="16" t="inlineStr">
        <is>
          <t>Bajo</t>
        </is>
      </c>
    </row>
    <row r="121">
      <c r="A121" s="16" t="inlineStr">
        <is>
          <t>demo-120</t>
        </is>
      </c>
      <c r="B121" s="16" t="inlineStr">
        <is>
          <t>C1-0120</t>
        </is>
      </c>
      <c r="C121" s="16" t="inlineStr">
        <is>
          <t>519-34-4630</t>
        </is>
      </c>
      <c r="D121" s="16" t="n">
        <v>519</v>
      </c>
      <c r="E121" s="16" t="n">
        <v>34</v>
      </c>
      <c r="F121" s="16" t="inlineStr">
        <is>
          <t>4630</t>
        </is>
      </c>
      <c r="G121" s="17" t="n">
        <v>46290</v>
      </c>
      <c r="H121" s="16" t="inlineStr">
        <is>
          <t>11:04</t>
        </is>
      </c>
      <c r="J121" s="16" t="inlineStr">
        <is>
          <t>C</t>
        </is>
      </c>
      <c r="K121" s="16" t="inlineStr">
        <is>
          <t>1</t>
        </is>
      </c>
      <c r="L121" s="16" t="inlineStr">
        <is>
          <t>Encuestador C</t>
        </is>
      </c>
      <c r="M121" s="16" t="inlineStr">
        <is>
          <t>Puesto 2</t>
        </is>
      </c>
      <c r="N121" s="16" t="inlineStr">
        <is>
          <t>Sí</t>
        </is>
      </c>
      <c r="O121" s="16" t="inlineStr">
        <is>
          <t>Sí</t>
        </is>
      </c>
      <c r="P121" s="16" t="n">
        <v>38</v>
      </c>
      <c r="Q121" s="16" t="inlineStr">
        <is>
          <t>Sí</t>
        </is>
      </c>
      <c r="R121" s="16" t="inlineStr">
        <is>
          <t>Sí</t>
        </is>
      </c>
      <c r="S121" s="16" t="inlineStr">
        <is>
          <t>Sí</t>
        </is>
      </c>
      <c r="T121" s="16" t="inlineStr">
        <is>
          <t>finalizado</t>
        </is>
      </c>
      <c r="U121" s="16" t="inlineStr">
        <is>
          <t>2026-10-v2</t>
        </is>
      </c>
      <c r="V121" s="16" t="inlineStr">
        <is>
          <t>2026-09-25T15:00:00.000Z</t>
        </is>
      </c>
      <c r="W121" s="16" t="inlineStr">
        <is>
          <t>Otro país</t>
        </is>
      </c>
      <c r="Y121" s="16" t="inlineStr">
        <is>
          <t>Terciario completo</t>
        </is>
      </c>
      <c r="Z121" s="16" t="inlineStr">
        <is>
          <t>Sí</t>
        </is>
      </c>
      <c r="AA121" s="16" t="inlineStr">
        <is>
          <t>Más de 5</t>
        </is>
      </c>
      <c r="AB121" s="16" t="inlineStr">
        <is>
          <t>2</t>
        </is>
      </c>
      <c r="AC121" s="16" t="inlineStr">
        <is>
          <t>Español</t>
        </is>
      </c>
      <c r="AE121" s="16" t="inlineStr">
        <is>
          <t>Español</t>
        </is>
      </c>
      <c r="AG121" s="16" t="inlineStr">
        <is>
          <t>Argentina</t>
        </is>
      </c>
      <c r="AI121" s="16" t="inlineStr">
        <is>
          <t>Bueno</t>
        </is>
      </c>
      <c r="AJ121" s="16" t="n">
        <v>11</v>
      </c>
      <c r="AK121" s="16" t="inlineStr">
        <is>
          <t>Viaje interprovincial</t>
        </is>
      </c>
      <c r="AL121" s="16" t="inlineStr">
        <is>
          <t>2 veces por semana</t>
        </is>
      </c>
      <c r="AN121" s="16" t="inlineStr">
        <is>
          <t>Diariamente</t>
        </is>
      </c>
      <c r="AP121" s="16" t="inlineStr">
        <is>
          <t>Dueño del camión</t>
        </is>
      </c>
      <c r="AR121" s="16" t="inlineStr">
        <is>
          <t>Conforme</t>
        </is>
      </c>
      <c r="AS121" s="16" t="inlineStr">
        <is>
          <t>Duda</t>
        </is>
      </c>
      <c r="AT121" s="16" t="n">
        <v>5.1</v>
      </c>
      <c r="AU121" s="16" t="inlineStr">
        <is>
          <t>Sí</t>
        </is>
      </c>
      <c r="AV121" s="16" t="inlineStr">
        <is>
          <t>Estaciones de servicio; Paradores</t>
        </is>
      </c>
      <c r="AX121" s="16" t="n">
        <v>6.2</v>
      </c>
      <c r="AY121" s="16" t="inlineStr">
        <is>
          <t>Nunca</t>
        </is>
      </c>
      <c r="AZ121" s="16" t="inlineStr">
        <is>
          <t>Agua</t>
        </is>
      </c>
      <c r="BB121" s="16" t="inlineStr">
        <is>
          <t>Nunca</t>
        </is>
      </c>
      <c r="BC121" s="16" t="inlineStr">
        <is>
          <t>Rara vez</t>
        </is>
      </c>
      <c r="BD121" s="16" t="inlineStr">
        <is>
          <t>No</t>
        </is>
      </c>
      <c r="BE121" s="16" t="inlineStr">
        <is>
          <t>No</t>
        </is>
      </c>
      <c r="BF121" s="16" t="inlineStr">
        <is>
          <t>Ninguna</t>
        </is>
      </c>
      <c r="BG121" s="16" t="inlineStr">
        <is>
          <t>Sistema público</t>
        </is>
      </c>
      <c r="BH121" s="16" t="inlineStr">
        <is>
          <t>2 veces al año</t>
        </is>
      </c>
      <c r="BI121" s="16" t="inlineStr">
        <is>
          <t>Sistema público</t>
        </is>
      </c>
      <c r="BJ121" s="16" t="inlineStr">
        <is>
          <t>Sí</t>
        </is>
      </c>
      <c r="BK121" s="16" t="inlineStr">
        <is>
          <t>Cervical</t>
        </is>
      </c>
      <c r="BL121" s="16" t="inlineStr">
        <is>
          <t>Ninguno</t>
        </is>
      </c>
      <c r="BN121" s="16" t="inlineStr">
        <is>
          <t>Obesidad</t>
        </is>
      </c>
      <c r="BP121" s="16" t="inlineStr">
        <is>
          <t>Nunca</t>
        </is>
      </c>
      <c r="BQ121" s="16" t="inlineStr">
        <is>
          <t>No</t>
        </is>
      </c>
      <c r="BS121" s="16" t="inlineStr">
        <is>
          <t>Sí</t>
        </is>
      </c>
      <c r="BT121" s="16" t="inlineStr">
        <is>
          <t>No</t>
        </is>
      </c>
      <c r="BU121" s="16" t="inlineStr">
        <is>
          <t>Nunca</t>
        </is>
      </c>
      <c r="BV121" s="16" t="inlineStr">
        <is>
          <t>No</t>
        </is>
      </c>
      <c r="BW121" s="16" t="inlineStr">
        <is>
          <t>Sí</t>
        </is>
      </c>
      <c r="BX121" s="16" t="inlineStr">
        <is>
          <t>Mujer</t>
        </is>
      </c>
      <c r="BY121" s="16" t="n">
        <v>96.5</v>
      </c>
      <c r="BZ121" s="16" t="n">
        <v>1.7</v>
      </c>
      <c r="CA121" s="16" t="n">
        <v>33.4</v>
      </c>
      <c r="CB121" s="16" t="n">
        <v>88</v>
      </c>
      <c r="CC121" s="16" t="n">
        <v>154</v>
      </c>
      <c r="CD121" s="16" t="n">
        <v>97</v>
      </c>
      <c r="CE121" s="16" t="inlineStr">
        <is>
          <t>No</t>
        </is>
      </c>
      <c r="CF121" s="16" t="inlineStr">
        <is>
          <t>No</t>
        </is>
      </c>
      <c r="CG121" s="16" t="inlineStr">
        <is>
          <t>Sí</t>
        </is>
      </c>
      <c r="CH121" s="16" t="inlineStr">
        <is>
          <t>Sí</t>
        </is>
      </c>
      <c r="CI121" s="16" t="inlineStr">
        <is>
          <t>No</t>
        </is>
      </c>
      <c r="CJ121" s="16" t="inlineStr">
        <is>
          <t>Sí, parientes lejanos</t>
        </is>
      </c>
      <c r="CK121" s="16" t="inlineStr">
        <is>
          <t>Sí</t>
        </is>
      </c>
      <c r="CL121" s="16" t="inlineStr">
        <is>
          <t>Sí</t>
        </is>
      </c>
      <c r="CM121" s="16" t="inlineStr">
        <is>
          <t>07:46</t>
        </is>
      </c>
      <c r="CN121" s="16" t="inlineStr">
        <is>
          <t>Mate</t>
        </is>
      </c>
      <c r="CO121" s="16" t="inlineStr">
        <is>
          <t>12:30</t>
        </is>
      </c>
      <c r="CP121" s="16" t="n">
        <v>128</v>
      </c>
      <c r="CQ121" s="16" t="n">
        <v>284</v>
      </c>
      <c r="CR121" s="16" t="inlineStr">
        <is>
          <t>No</t>
        </is>
      </c>
      <c r="CV121" s="16" t="inlineStr">
        <is>
          <t>Sí</t>
        </is>
      </c>
      <c r="CW121" s="16" t="n">
        <v>15</v>
      </c>
      <c r="CX121" s="16" t="inlineStr">
        <is>
          <t>3</t>
        </is>
      </c>
      <c r="CY121" s="16" t="inlineStr">
        <is>
          <t>Bajo</t>
        </is>
      </c>
    </row>
    <row r="122">
      <c r="A122" s="16" t="inlineStr">
        <is>
          <t>demo-1-control</t>
        </is>
      </c>
      <c r="B122" s="16" t="inlineStr">
        <is>
          <t>B1-0001</t>
        </is>
      </c>
      <c r="C122" s="16" t="inlineStr">
        <is>
          <t>500-63-4630</t>
        </is>
      </c>
      <c r="D122" s="16" t="n">
        <v>500</v>
      </c>
      <c r="E122" s="16" t="n">
        <v>63</v>
      </c>
      <c r="F122" s="16" t="inlineStr">
        <is>
          <t>4630</t>
        </is>
      </c>
      <c r="G122" s="17" t="n">
        <v>46302</v>
      </c>
      <c r="H122" s="16" t="inlineStr">
        <is>
          <t>10:08</t>
        </is>
      </c>
      <c r="J122" s="16" t="inlineStr">
        <is>
          <t>B</t>
        </is>
      </c>
      <c r="K122" s="16" t="inlineStr">
        <is>
          <t>1</t>
        </is>
      </c>
      <c r="L122" s="16" t="inlineStr">
        <is>
          <t>Encuestador B</t>
        </is>
      </c>
      <c r="M122" s="16" t="inlineStr">
        <is>
          <t>Puesto 2</t>
        </is>
      </c>
      <c r="N122" s="16" t="inlineStr">
        <is>
          <t>Sí</t>
        </is>
      </c>
      <c r="O122" s="16" t="inlineStr">
        <is>
          <t>No</t>
        </is>
      </c>
      <c r="P122" s="16" t="n">
        <v>0</v>
      </c>
      <c r="Q122" s="16" t="inlineStr">
        <is>
          <t>No</t>
        </is>
      </c>
      <c r="R122" s="16" t="inlineStr">
        <is>
          <t>No</t>
        </is>
      </c>
      <c r="S122" s="16" t="inlineStr">
        <is>
          <t>No</t>
        </is>
      </c>
      <c r="T122" s="16" t="inlineStr">
        <is>
          <t>finalizado</t>
        </is>
      </c>
      <c r="U122" s="16" t="inlineStr">
        <is>
          <t>2026-10-v2</t>
        </is>
      </c>
      <c r="V122" s="16" t="inlineStr">
        <is>
          <t>2026-09-25T15:00:00.000Z</t>
        </is>
      </c>
    </row>
    <row r="123">
      <c r="A123" s="16" t="inlineStr">
        <is>
          <t>demo-8-control</t>
        </is>
      </c>
      <c r="B123" s="16" t="inlineStr">
        <is>
          <t>C1-0008</t>
        </is>
      </c>
      <c r="C123" s="16" t="inlineStr">
        <is>
          <t>707-51-4500</t>
        </is>
      </c>
      <c r="D123" s="16" t="n">
        <v>707</v>
      </c>
      <c r="E123" s="16" t="n">
        <v>51</v>
      </c>
      <c r="F123" s="16" t="inlineStr">
        <is>
          <t>4500</t>
        </is>
      </c>
      <c r="G123" s="17" t="n">
        <v>46302</v>
      </c>
      <c r="H123" s="16" t="inlineStr">
        <is>
          <t>12:02</t>
        </is>
      </c>
      <c r="J123" s="16" t="inlineStr">
        <is>
          <t>C</t>
        </is>
      </c>
      <c r="K123" s="16" t="inlineStr">
        <is>
          <t>1</t>
        </is>
      </c>
      <c r="L123" s="16" t="inlineStr">
        <is>
          <t>Encuestador C</t>
        </is>
      </c>
      <c r="M123" s="16" t="inlineStr">
        <is>
          <t>Puesto 1</t>
        </is>
      </c>
      <c r="N123" s="16" t="inlineStr">
        <is>
          <t>Sí</t>
        </is>
      </c>
      <c r="O123" s="16" t="inlineStr">
        <is>
          <t>Sí</t>
        </is>
      </c>
      <c r="P123" s="16" t="n">
        <v>0</v>
      </c>
      <c r="Q123" s="16" t="inlineStr">
        <is>
          <t>No</t>
        </is>
      </c>
      <c r="R123" s="16" t="inlineStr">
        <is>
          <t>Sí</t>
        </is>
      </c>
      <c r="S123" s="16" t="inlineStr">
        <is>
          <t>Sí</t>
        </is>
      </c>
      <c r="T123" s="16" t="inlineStr">
        <is>
          <t>finalizado</t>
        </is>
      </c>
      <c r="U123" s="16" t="inlineStr">
        <is>
          <t>2026-10-v2</t>
        </is>
      </c>
      <c r="V123" s="16" t="inlineStr">
        <is>
          <t>2026-10-01T15:00:00.000Z</t>
        </is>
      </c>
      <c r="BW123" s="16" t="inlineStr">
        <is>
          <t>No</t>
        </is>
      </c>
      <c r="BX123" s="16" t="inlineStr">
        <is>
          <t>Varón</t>
        </is>
      </c>
      <c r="BY123" s="16" t="n">
        <v>76.40000000000001</v>
      </c>
      <c r="BZ123" s="16" t="n">
        <v>1.78</v>
      </c>
      <c r="CA123" s="16" t="n">
        <v>24.1</v>
      </c>
      <c r="CB123" s="16" t="n">
        <v>89</v>
      </c>
      <c r="CC123" s="16" t="n">
        <v>141</v>
      </c>
      <c r="CD123" s="16" t="n">
        <v>89</v>
      </c>
      <c r="CE123" s="16" t="inlineStr">
        <is>
          <t>Sí</t>
        </is>
      </c>
      <c r="CF123" s="16" t="inlineStr">
        <is>
          <t>No</t>
        </is>
      </c>
      <c r="CG123" s="16" t="inlineStr">
        <is>
          <t>No</t>
        </is>
      </c>
      <c r="CH123" s="16" t="inlineStr">
        <is>
          <t>No</t>
        </is>
      </c>
      <c r="CI123" s="16" t="inlineStr">
        <is>
          <t>No</t>
        </is>
      </c>
      <c r="CJ123" s="16" t="inlineStr">
        <is>
          <t>No</t>
        </is>
      </c>
      <c r="CK123" s="16" t="inlineStr">
        <is>
          <t>No</t>
        </is>
      </c>
      <c r="CL123" s="16" t="inlineStr">
        <is>
          <t>Sí</t>
        </is>
      </c>
      <c r="CM123" s="16" t="inlineStr">
        <is>
          <t>07:47</t>
        </is>
      </c>
      <c r="CN123" s="16" t="inlineStr">
        <is>
          <t>Mate</t>
        </is>
      </c>
      <c r="CO123" s="16" t="inlineStr">
        <is>
          <t>11:30</t>
        </is>
      </c>
      <c r="CP123" s="16" t="n">
        <v>180</v>
      </c>
      <c r="CQ123" s="16" t="n">
        <v>223</v>
      </c>
      <c r="CR123" s="16" t="inlineStr">
        <is>
          <t>Sí</t>
        </is>
      </c>
      <c r="CS123" s="16" t="n">
        <v>3</v>
      </c>
      <c r="CT123" s="16" t="inlineStr">
        <is>
          <t>Bajo</t>
        </is>
      </c>
      <c r="CU123" s="16" t="inlineStr">
        <is>
          <t>1 %</t>
        </is>
      </c>
      <c r="CV123" s="16" t="inlineStr">
        <is>
          <t>Sí</t>
        </is>
      </c>
      <c r="CW123" s="16" t="n">
        <v>7</v>
      </c>
      <c r="CX123" s="16" t="inlineStr">
        <is>
          <t>3</t>
        </is>
      </c>
      <c r="CY123" s="16" t="inlineStr">
        <is>
          <t>Bajo</t>
        </is>
      </c>
    </row>
    <row r="124">
      <c r="A124" s="16" t="inlineStr">
        <is>
          <t>demo-15-control</t>
        </is>
      </c>
      <c r="B124" s="16" t="inlineStr">
        <is>
          <t>B1-0015</t>
        </is>
      </c>
      <c r="C124" s="16" t="inlineStr">
        <is>
          <t>514-59-4500</t>
        </is>
      </c>
      <c r="D124" s="16" t="n">
        <v>514</v>
      </c>
      <c r="E124" s="16" t="n">
        <v>59</v>
      </c>
      <c r="F124" s="16" t="inlineStr">
        <is>
          <t>4500</t>
        </is>
      </c>
      <c r="G124" s="17" t="n">
        <v>46302</v>
      </c>
      <c r="H124" s="16" t="inlineStr">
        <is>
          <t>11:03</t>
        </is>
      </c>
      <c r="J124" s="16" t="inlineStr">
        <is>
          <t>B</t>
        </is>
      </c>
      <c r="K124" s="16" t="inlineStr">
        <is>
          <t>1</t>
        </is>
      </c>
      <c r="L124" s="16" t="inlineStr">
        <is>
          <t>Encuestador B</t>
        </is>
      </c>
      <c r="M124" s="16" t="inlineStr">
        <is>
          <t>Puesto 2</t>
        </is>
      </c>
      <c r="N124" s="16" t="inlineStr">
        <is>
          <t>Sí</t>
        </is>
      </c>
      <c r="O124" s="16" t="inlineStr">
        <is>
          <t>Sí</t>
        </is>
      </c>
      <c r="P124" s="16" t="n">
        <v>0</v>
      </c>
      <c r="Q124" s="16" t="inlineStr">
        <is>
          <t>No</t>
        </is>
      </c>
      <c r="R124" s="16" t="inlineStr">
        <is>
          <t>Sí</t>
        </is>
      </c>
      <c r="S124" s="16" t="inlineStr">
        <is>
          <t>Sí</t>
        </is>
      </c>
      <c r="T124" s="16" t="inlineStr">
        <is>
          <t>finalizado</t>
        </is>
      </c>
      <c r="U124" s="16" t="inlineStr">
        <is>
          <t>2026-10-v2</t>
        </is>
      </c>
      <c r="V124" s="16" t="inlineStr">
        <is>
          <t>2026-09-29T15:00:00.000Z</t>
        </is>
      </c>
      <c r="BW124" s="16" t="inlineStr">
        <is>
          <t>Sí</t>
        </is>
      </c>
      <c r="BX124" s="16" t="inlineStr">
        <is>
          <t>Varón</t>
        </is>
      </c>
      <c r="BY124" s="16" t="n">
        <v>116.3</v>
      </c>
      <c r="BZ124" s="16" t="n">
        <v>1.8</v>
      </c>
      <c r="CA124" s="16" t="n">
        <v>35.9</v>
      </c>
      <c r="CB124" s="16" t="n">
        <v>78</v>
      </c>
      <c r="CC124" s="16" t="n">
        <v>146</v>
      </c>
      <c r="CD124" s="16" t="n">
        <v>93</v>
      </c>
      <c r="CE124" s="16" t="inlineStr">
        <is>
          <t>No</t>
        </is>
      </c>
      <c r="CF124" s="16" t="inlineStr">
        <is>
          <t>Sí</t>
        </is>
      </c>
      <c r="CG124" s="16" t="inlineStr">
        <is>
          <t>No</t>
        </is>
      </c>
      <c r="CH124" s="16" t="inlineStr">
        <is>
          <t>No</t>
        </is>
      </c>
      <c r="CI124" s="16" t="inlineStr">
        <is>
          <t>No</t>
        </is>
      </c>
      <c r="CJ124" s="16" t="inlineStr">
        <is>
          <t>No</t>
        </is>
      </c>
      <c r="CK124" s="16" t="inlineStr">
        <is>
          <t>No</t>
        </is>
      </c>
      <c r="CL124" s="16" t="inlineStr">
        <is>
          <t>Sí</t>
        </is>
      </c>
      <c r="CM124" s="16" t="inlineStr">
        <is>
          <t>07:45</t>
        </is>
      </c>
      <c r="CN124" s="16" t="inlineStr">
        <is>
          <t>Mate</t>
        </is>
      </c>
      <c r="CO124" s="16" t="inlineStr">
        <is>
          <t>14:30</t>
        </is>
      </c>
      <c r="CP124" s="16" t="n">
        <v>110</v>
      </c>
      <c r="CQ124" s="16" t="n">
        <v>405</v>
      </c>
      <c r="CR124" s="16" t="inlineStr">
        <is>
          <t>No</t>
        </is>
      </c>
      <c r="CV124" s="16" t="inlineStr">
        <is>
          <t>Sí</t>
        </is>
      </c>
      <c r="CW124" s="16" t="n">
        <v>14</v>
      </c>
      <c r="CX124" s="16" t="inlineStr">
        <is>
          <t>16</t>
        </is>
      </c>
      <c r="CY124" s="16" t="inlineStr">
        <is>
          <t>Moderado</t>
        </is>
      </c>
    </row>
    <row r="125">
      <c r="A125" s="16" t="inlineStr">
        <is>
          <t>demo-22-control</t>
        </is>
      </c>
      <c r="B125" s="16" t="inlineStr">
        <is>
          <t>C1-0022</t>
        </is>
      </c>
      <c r="C125" s="16" t="inlineStr">
        <is>
          <t>721-56-4600</t>
        </is>
      </c>
      <c r="D125" s="16" t="n">
        <v>721</v>
      </c>
      <c r="E125" s="16" t="n">
        <v>56</v>
      </c>
      <c r="F125" s="16" t="inlineStr">
        <is>
          <t>4600</t>
        </is>
      </c>
      <c r="G125" s="17" t="n">
        <v>46302</v>
      </c>
      <c r="H125" s="16" t="inlineStr">
        <is>
          <t>10:02</t>
        </is>
      </c>
      <c r="J125" s="16" t="inlineStr">
        <is>
          <t>C</t>
        </is>
      </c>
      <c r="K125" s="16" t="inlineStr">
        <is>
          <t>1</t>
        </is>
      </c>
      <c r="L125" s="16" t="inlineStr">
        <is>
          <t>Encuestador C</t>
        </is>
      </c>
      <c r="M125" s="16" t="inlineStr">
        <is>
          <t>Puesto 2</t>
        </is>
      </c>
      <c r="N125" s="16" t="inlineStr">
        <is>
          <t>Sí</t>
        </is>
      </c>
      <c r="O125" s="16" t="inlineStr">
        <is>
          <t>Sí</t>
        </is>
      </c>
      <c r="P125" s="16" t="n">
        <v>0</v>
      </c>
      <c r="Q125" s="16" t="inlineStr">
        <is>
          <t>No</t>
        </is>
      </c>
      <c r="R125" s="16" t="inlineStr">
        <is>
          <t>Sí</t>
        </is>
      </c>
      <c r="S125" s="16" t="inlineStr">
        <is>
          <t>Sí</t>
        </is>
      </c>
      <c r="T125" s="16" t="inlineStr">
        <is>
          <t>borrador</t>
        </is>
      </c>
      <c r="U125" s="16" t="inlineStr">
        <is>
          <t>2026-10-v2</t>
        </is>
      </c>
      <c r="V125" s="16" t="inlineStr">
        <is>
          <t>2026-10-07T15:00:00.000Z</t>
        </is>
      </c>
      <c r="BW125" s="16" t="inlineStr">
        <is>
          <t>No</t>
        </is>
      </c>
      <c r="BX125" s="16" t="inlineStr">
        <is>
          <t>Varón</t>
        </is>
      </c>
      <c r="BY125" s="16" t="n">
        <v>75.5</v>
      </c>
      <c r="BZ125" s="16" t="n">
        <v>1.8</v>
      </c>
      <c r="CA125" s="16" t="n">
        <v>23.3</v>
      </c>
      <c r="CB125" s="16" t="n">
        <v>103</v>
      </c>
      <c r="CC125" s="16" t="n">
        <v>147</v>
      </c>
      <c r="CD125" s="16" t="n">
        <v>93</v>
      </c>
      <c r="CE125" s="16" t="inlineStr">
        <is>
          <t>No</t>
        </is>
      </c>
      <c r="CF125" s="16" t="inlineStr">
        <is>
          <t>No</t>
        </is>
      </c>
      <c r="CG125" s="16" t="inlineStr">
        <is>
          <t>No</t>
        </is>
      </c>
      <c r="CH125" s="16" t="inlineStr">
        <is>
          <t>No</t>
        </is>
      </c>
      <c r="CI125" s="16" t="inlineStr">
        <is>
          <t>No</t>
        </is>
      </c>
      <c r="CJ125" s="16" t="inlineStr">
        <is>
          <t>No</t>
        </is>
      </c>
      <c r="CK125" s="16" t="inlineStr">
        <is>
          <t>No</t>
        </is>
      </c>
      <c r="CL125" s="16" t="inlineStr">
        <is>
          <t>Sí</t>
        </is>
      </c>
      <c r="CM125" s="16" t="inlineStr">
        <is>
          <t>07:10</t>
        </is>
      </c>
      <c r="CN125" s="16" t="inlineStr">
        <is>
          <t>Mate</t>
        </is>
      </c>
      <c r="CO125" s="16" t="inlineStr">
        <is>
          <t>14:30</t>
        </is>
      </c>
      <c r="CP125" s="16" t="n">
        <v>174</v>
      </c>
      <c r="CQ125" s="16" t="n">
        <v>440</v>
      </c>
      <c r="CR125" s="16" t="inlineStr">
        <is>
          <t>Sí</t>
        </is>
      </c>
      <c r="CS125" s="16" t="n">
        <v>10</v>
      </c>
      <c r="CT125" s="16" t="inlineStr">
        <is>
          <t>Ligeramente elevado</t>
        </is>
      </c>
      <c r="CU125" s="16" t="inlineStr">
        <is>
          <t>4 %</t>
        </is>
      </c>
      <c r="CV125" s="16" t="inlineStr">
        <is>
          <t>Sí</t>
        </is>
      </c>
      <c r="CW125" s="16" t="n">
        <v>9</v>
      </c>
      <c r="CX125" s="16" t="inlineStr">
        <is>
          <t>5</t>
        </is>
      </c>
      <c r="CY125" s="16" t="inlineStr">
        <is>
          <t>Bajo</t>
        </is>
      </c>
    </row>
    <row r="126">
      <c r="A126" s="16" t="inlineStr">
        <is>
          <t>demo-29-control</t>
        </is>
      </c>
      <c r="B126" s="16" t="inlineStr">
        <is>
          <t>A1-0029</t>
        </is>
      </c>
      <c r="C126" s="16" t="inlineStr">
        <is>
          <t>329-42-4612</t>
        </is>
      </c>
      <c r="D126" s="16" t="n">
        <v>329</v>
      </c>
      <c r="E126" s="16" t="n">
        <v>42</v>
      </c>
      <c r="F126" s="16" t="inlineStr">
        <is>
          <t>4612</t>
        </is>
      </c>
      <c r="G126" s="17" t="n">
        <v>46302</v>
      </c>
      <c r="H126" s="16" t="inlineStr">
        <is>
          <t>11:08</t>
        </is>
      </c>
      <c r="J126" s="16" t="inlineStr">
        <is>
          <t>A</t>
        </is>
      </c>
      <c r="K126" s="16" t="inlineStr">
        <is>
          <t>1</t>
        </is>
      </c>
      <c r="L126" s="16" t="inlineStr">
        <is>
          <t>Encuestador A</t>
        </is>
      </c>
      <c r="M126" s="16" t="inlineStr">
        <is>
          <t>Puesto 1</t>
        </is>
      </c>
      <c r="N126" s="16" t="inlineStr">
        <is>
          <t>Sí</t>
        </is>
      </c>
      <c r="O126" s="16" t="inlineStr">
        <is>
          <t>Sí</t>
        </is>
      </c>
      <c r="P126" s="16" t="n">
        <v>0</v>
      </c>
      <c r="Q126" s="16" t="inlineStr">
        <is>
          <t>No</t>
        </is>
      </c>
      <c r="R126" s="16" t="inlineStr">
        <is>
          <t>Sí</t>
        </is>
      </c>
      <c r="S126" s="16" t="inlineStr">
        <is>
          <t>Sí</t>
        </is>
      </c>
      <c r="T126" s="16" t="inlineStr">
        <is>
          <t>finalizado</t>
        </is>
      </c>
      <c r="U126" s="16" t="inlineStr">
        <is>
          <t>2026-10-v2</t>
        </is>
      </c>
      <c r="V126" s="16" t="inlineStr">
        <is>
          <t>2026-09-24T15:00:00.000Z</t>
        </is>
      </c>
      <c r="BW126" s="16" t="inlineStr">
        <is>
          <t>No</t>
        </is>
      </c>
      <c r="BX126" s="16" t="inlineStr">
        <is>
          <t>Varón</t>
        </is>
      </c>
      <c r="BY126" s="16" t="n">
        <v>125.8</v>
      </c>
      <c r="BZ126" s="16" t="n">
        <v>1.88</v>
      </c>
      <c r="CA126" s="16" t="n">
        <v>35.6</v>
      </c>
      <c r="CB126" s="16" t="n">
        <v>79</v>
      </c>
      <c r="CC126" s="16" t="n">
        <v>121</v>
      </c>
      <c r="CD126" s="16" t="n">
        <v>77</v>
      </c>
      <c r="CE126" s="16" t="inlineStr">
        <is>
          <t>No</t>
        </is>
      </c>
      <c r="CF126" s="16" t="inlineStr">
        <is>
          <t>No</t>
        </is>
      </c>
      <c r="CG126" s="16" t="inlineStr">
        <is>
          <t>No</t>
        </is>
      </c>
      <c r="CH126" s="16" t="inlineStr">
        <is>
          <t>No</t>
        </is>
      </c>
      <c r="CI126" s="16" t="inlineStr">
        <is>
          <t>No</t>
        </is>
      </c>
      <c r="CJ126" s="16" t="inlineStr">
        <is>
          <t>No</t>
        </is>
      </c>
      <c r="CK126" s="16" t="inlineStr">
        <is>
          <t>Sí</t>
        </is>
      </c>
      <c r="CL126" s="16" t="inlineStr">
        <is>
          <t>Sí</t>
        </is>
      </c>
      <c r="CM126" s="16" t="inlineStr">
        <is>
          <t>07:21</t>
        </is>
      </c>
      <c r="CN126" s="16" t="inlineStr">
        <is>
          <t>Mate</t>
        </is>
      </c>
      <c r="CO126" s="16" t="inlineStr">
        <is>
          <t>15:30</t>
        </is>
      </c>
      <c r="CP126" s="16" t="n">
        <v>93</v>
      </c>
      <c r="CQ126" s="16" t="n">
        <v>489</v>
      </c>
      <c r="CR126" s="16" t="inlineStr">
        <is>
          <t>Sí</t>
        </is>
      </c>
      <c r="CS126" s="16" t="n">
        <v>6</v>
      </c>
      <c r="CT126" s="16" t="inlineStr">
        <is>
          <t>Bajo</t>
        </is>
      </c>
      <c r="CU126" s="16" t="inlineStr">
        <is>
          <t>1 %</t>
        </is>
      </c>
      <c r="CV126" s="16" t="inlineStr">
        <is>
          <t>Sí</t>
        </is>
      </c>
      <c r="CW126" s="16" t="n">
        <v>7</v>
      </c>
      <c r="CX126" s="16" t="inlineStr">
        <is>
          <t>3</t>
        </is>
      </c>
      <c r="CY126" s="16" t="inlineStr">
        <is>
          <t>Bajo</t>
        </is>
      </c>
    </row>
    <row r="127">
      <c r="A127" s="16" t="inlineStr">
        <is>
          <t>demo-36-control</t>
        </is>
      </c>
      <c r="B127" s="16" t="inlineStr">
        <is>
          <t>B1-0036</t>
        </is>
      </c>
      <c r="C127" s="16" t="inlineStr">
        <is>
          <t>535-51-4630</t>
        </is>
      </c>
      <c r="D127" s="16" t="n">
        <v>535</v>
      </c>
      <c r="E127" s="16" t="n">
        <v>51</v>
      </c>
      <c r="F127" s="16" t="inlineStr">
        <is>
          <t>4630</t>
        </is>
      </c>
      <c r="G127" s="17" t="n">
        <v>46302</v>
      </c>
      <c r="H127" s="16" t="inlineStr">
        <is>
          <t>15:03</t>
        </is>
      </c>
      <c r="J127" s="16" t="inlineStr">
        <is>
          <t>B</t>
        </is>
      </c>
      <c r="K127" s="16" t="inlineStr">
        <is>
          <t>1</t>
        </is>
      </c>
      <c r="L127" s="16" t="inlineStr">
        <is>
          <t>Encuestador B</t>
        </is>
      </c>
      <c r="M127" s="16" t="inlineStr">
        <is>
          <t>Puesto 1</t>
        </is>
      </c>
      <c r="N127" s="16" t="inlineStr">
        <is>
          <t>Sí</t>
        </is>
      </c>
      <c r="O127" s="16" t="inlineStr">
        <is>
          <t>Sí</t>
        </is>
      </c>
      <c r="P127" s="16" t="n">
        <v>0</v>
      </c>
      <c r="Q127" s="16" t="inlineStr">
        <is>
          <t>No</t>
        </is>
      </c>
      <c r="R127" s="16" t="inlineStr">
        <is>
          <t>Sí</t>
        </is>
      </c>
      <c r="S127" s="16" t="inlineStr">
        <is>
          <t>Sí</t>
        </is>
      </c>
      <c r="T127" s="16" t="inlineStr">
        <is>
          <t>finalizado</t>
        </is>
      </c>
      <c r="U127" s="16" t="inlineStr">
        <is>
          <t>2026-10-v2</t>
        </is>
      </c>
      <c r="V127" s="16" t="inlineStr">
        <is>
          <t>2026-10-01T15:00:00.000Z</t>
        </is>
      </c>
      <c r="BW127" s="16" t="inlineStr">
        <is>
          <t>No</t>
        </is>
      </c>
      <c r="BX127" s="16" t="inlineStr">
        <is>
          <t>Varón</t>
        </is>
      </c>
      <c r="BY127" s="16" t="n">
        <v>79.7</v>
      </c>
      <c r="BZ127" s="16" t="n">
        <v>1.8</v>
      </c>
      <c r="CA127" s="16" t="n">
        <v>24.6</v>
      </c>
      <c r="CB127" s="16" t="n">
        <v>84</v>
      </c>
      <c r="CC127" s="16" t="n">
        <v>162</v>
      </c>
      <c r="CD127" s="16" t="n">
        <v>102</v>
      </c>
      <c r="CE127" s="16" t="inlineStr">
        <is>
          <t>No</t>
        </is>
      </c>
      <c r="CF127" s="16" t="inlineStr">
        <is>
          <t>Sí</t>
        </is>
      </c>
      <c r="CG127" s="16" t="inlineStr">
        <is>
          <t>No</t>
        </is>
      </c>
      <c r="CH127" s="16" t="inlineStr">
        <is>
          <t>No</t>
        </is>
      </c>
      <c r="CI127" s="16" t="inlineStr">
        <is>
          <t>No</t>
        </is>
      </c>
      <c r="CJ127" s="16" t="inlineStr">
        <is>
          <t>Sí, parientes lejanos</t>
        </is>
      </c>
      <c r="CK127" s="16" t="inlineStr">
        <is>
          <t>No</t>
        </is>
      </c>
      <c r="CL127" s="16" t="inlineStr">
        <is>
          <t>Sí</t>
        </is>
      </c>
      <c r="CM127" s="16" t="inlineStr">
        <is>
          <t>07:13</t>
        </is>
      </c>
      <c r="CN127" s="16" t="inlineStr">
        <is>
          <t>Mate</t>
        </is>
      </c>
      <c r="CO127" s="16" t="inlineStr">
        <is>
          <t>13:30</t>
        </is>
      </c>
      <c r="CP127" s="16" t="n">
        <v>79</v>
      </c>
      <c r="CQ127" s="16" t="n">
        <v>377</v>
      </c>
      <c r="CR127" s="16" t="inlineStr">
        <is>
          <t>Sí</t>
        </is>
      </c>
      <c r="CS127" s="16" t="n">
        <v>7</v>
      </c>
      <c r="CT127" s="16" t="inlineStr">
        <is>
          <t>Ligeramente elevado</t>
        </is>
      </c>
      <c r="CU127" s="16" t="inlineStr">
        <is>
          <t>4 %</t>
        </is>
      </c>
      <c r="CV127" s="16" t="inlineStr">
        <is>
          <t>Sí</t>
        </is>
      </c>
      <c r="CW127" s="16" t="n">
        <v>8</v>
      </c>
      <c r="CX127" s="16" t="inlineStr">
        <is>
          <t>4</t>
        </is>
      </c>
      <c r="CY127" s="16" t="inlineStr">
        <is>
          <t>Bajo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9A3412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3" t="inlineStr">
        <is>
          <t>id</t>
        </is>
      </c>
      <c r="B1" s="23" t="inlineStr">
        <is>
          <t>participante_id</t>
        </is>
      </c>
      <c r="C1" s="23" t="inlineStr">
        <is>
          <t>codigo</t>
        </is>
      </c>
      <c r="D1" s="23" t="inlineStr">
        <is>
          <t>correo</t>
        </is>
      </c>
      <c r="E1" s="23" t="inlineStr">
        <is>
          <t>celular</t>
        </is>
      </c>
      <c r="F1" s="23" t="inlineStr">
        <is>
          <t>consentimiento</t>
        </is>
      </c>
      <c r="G1" s="23" t="inlineStr">
        <is>
          <t>comparte_app</t>
        </is>
      </c>
      <c r="H1" s="23" t="inlineStr">
        <is>
          <t>fecha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60" customWidth="1" min="2" max="2"/>
    <col width="22" customWidth="1" min="3" max="3"/>
    <col width="50" customWidth="1" min="4" max="4"/>
    <col width="22" customWidth="1" min="5" max="5"/>
  </cols>
  <sheetData>
    <row r="1">
      <c r="A1" s="23" t="inlineStr">
        <is>
          <t>Variable</t>
        </is>
      </c>
      <c r="B1" s="23" t="inlineStr">
        <is>
          <t>Descripción o pregunta</t>
        </is>
      </c>
      <c r="C1" s="23" t="inlineStr">
        <is>
          <t>Sección</t>
        </is>
      </c>
      <c r="D1" s="23" t="inlineStr">
        <is>
          <t>Valores posibles</t>
        </is>
      </c>
      <c r="E1" s="23" t="inlineStr">
        <is>
          <t>Ejemplo</t>
        </is>
      </c>
    </row>
    <row r="2">
      <c r="A2" s="24" t="inlineStr">
        <is>
          <t>id</t>
        </is>
      </c>
      <c r="B2" s="3" t="inlineStr">
        <is>
          <t>Identificador único del relevamiento (generado por la app)</t>
        </is>
      </c>
      <c r="C2" s="24" t="inlineStr">
        <is>
          <t>Identificación</t>
        </is>
      </c>
      <c r="D2" s="3" t="inlineStr"/>
      <c r="E2" s="24" t="inlineStr">
        <is>
          <t>7f3c2a10-ejemplo</t>
        </is>
      </c>
    </row>
    <row r="3">
      <c r="A3" s="24" t="inlineStr">
        <is>
          <t>participante_id</t>
        </is>
      </c>
      <c r="B3" s="3" t="inlineStr">
        <is>
          <t>ID interno del participante (equipo, dispositivo y N° de orden)</t>
        </is>
      </c>
      <c r="C3" s="24" t="inlineStr">
        <is>
          <t>Identificación</t>
        </is>
      </c>
      <c r="D3" s="3" t="inlineStr"/>
      <c r="E3" s="24" t="inlineStr">
        <is>
          <t>A1-0010</t>
        </is>
      </c>
    </row>
    <row r="4">
      <c r="A4" s="24" t="inlineStr">
        <is>
          <t>codigo</t>
        </is>
      </c>
      <c r="B4" s="3" t="inlineStr">
        <is>
          <t>Código de identificación (orden-edad-código postal)</t>
        </is>
      </c>
      <c r="C4" s="24" t="inlineStr">
        <is>
          <t>Identificación</t>
        </is>
      </c>
      <c r="D4" s="3" t="inlineStr"/>
      <c r="E4" s="24" t="inlineStr">
        <is>
          <t>010-44-4600</t>
        </is>
      </c>
    </row>
    <row r="5">
      <c r="A5" s="24" t="inlineStr">
        <is>
          <t>orden</t>
        </is>
      </c>
      <c r="B5" s="3" t="inlineStr">
        <is>
          <t>Número de orden</t>
        </is>
      </c>
      <c r="C5" s="24" t="inlineStr">
        <is>
          <t>Identificación</t>
        </is>
      </c>
      <c r="D5" s="3" t="inlineStr"/>
      <c r="E5" s="24" t="n">
        <v>10</v>
      </c>
    </row>
    <row r="6">
      <c r="A6" s="24" t="inlineStr">
        <is>
          <t>edad</t>
        </is>
      </c>
      <c r="B6" s="3" t="inlineStr">
        <is>
          <t>Edad (años cumplidos)</t>
        </is>
      </c>
      <c r="C6" s="24" t="inlineStr">
        <is>
          <t>Identificación</t>
        </is>
      </c>
      <c r="D6" s="3" t="inlineStr"/>
      <c r="E6" s="24" t="n">
        <v>44</v>
      </c>
    </row>
    <row r="7">
      <c r="A7" s="24" t="inlineStr">
        <is>
          <t>cp</t>
        </is>
      </c>
      <c r="B7" s="3" t="inlineStr">
        <is>
          <t>Código postal</t>
        </is>
      </c>
      <c r="C7" s="24" t="inlineStr">
        <is>
          <t>Identificación</t>
        </is>
      </c>
      <c r="D7" s="3" t="inlineStr"/>
      <c r="E7" s="24" t="inlineStr">
        <is>
          <t>4600</t>
        </is>
      </c>
    </row>
    <row r="8">
      <c r="A8" s="24" t="inlineStr">
        <is>
          <t>fecha</t>
        </is>
      </c>
      <c r="B8" s="3" t="inlineStr">
        <is>
          <t>Fecha del relevamiento (AAAA-MM-DD)</t>
        </is>
      </c>
      <c r="C8" s="24" t="inlineStr">
        <is>
          <t>Identificación</t>
        </is>
      </c>
      <c r="D8" s="3" t="inlineStr"/>
      <c r="E8" s="24" t="inlineStr">
        <is>
          <t>2026-10-07</t>
        </is>
      </c>
    </row>
    <row r="9">
      <c r="A9" s="24" t="inlineStr">
        <is>
          <t>hora_inicio</t>
        </is>
      </c>
      <c r="B9" s="3" t="inlineStr">
        <is>
          <t>Hora de inicio</t>
        </is>
      </c>
      <c r="C9" s="24" t="inlineStr">
        <is>
          <t>Identificación</t>
        </is>
      </c>
      <c r="D9" s="3" t="inlineStr"/>
      <c r="E9" s="24" t="inlineStr">
        <is>
          <t>10:58</t>
        </is>
      </c>
    </row>
    <row r="10">
      <c r="A10" s="24" t="inlineStr">
        <is>
          <t>hora_fin</t>
        </is>
      </c>
      <c r="B10" s="3" t="inlineStr">
        <is>
          <t>Hora de cierre</t>
        </is>
      </c>
      <c r="C10" s="24" t="inlineStr">
        <is>
          <t>Identificación</t>
        </is>
      </c>
      <c r="D10" s="3" t="inlineStr"/>
      <c r="E10" s="24" t="inlineStr">
        <is>
          <t>11:30</t>
        </is>
      </c>
    </row>
    <row r="11">
      <c r="A11" s="24" t="inlineStr">
        <is>
          <t>equipo</t>
        </is>
      </c>
      <c r="B11" s="3" t="inlineStr">
        <is>
          <t>Equipo</t>
        </is>
      </c>
      <c r="C11" s="24" t="inlineStr">
        <is>
          <t>Identificación</t>
        </is>
      </c>
      <c r="D11" s="3" t="inlineStr"/>
      <c r="E11" s="24" t="inlineStr">
        <is>
          <t>A</t>
        </is>
      </c>
    </row>
    <row r="12">
      <c r="A12" s="24" t="inlineStr">
        <is>
          <t>dispositivo</t>
        </is>
      </c>
      <c r="B12" s="3" t="inlineStr">
        <is>
          <t>Dispositivo</t>
        </is>
      </c>
      <c r="C12" s="24" t="inlineStr">
        <is>
          <t>Identificación</t>
        </is>
      </c>
      <c r="D12" s="3" t="inlineStr"/>
      <c r="E12" s="24" t="inlineStr">
        <is>
          <t>1</t>
        </is>
      </c>
    </row>
    <row r="13">
      <c r="A13" s="24" t="inlineStr">
        <is>
          <t>encuestador</t>
        </is>
      </c>
      <c r="B13" s="3" t="inlineStr">
        <is>
          <t>Encuestador/a</t>
        </is>
      </c>
      <c r="C13" s="24" t="inlineStr">
        <is>
          <t>Identificación</t>
        </is>
      </c>
      <c r="D13" s="3" t="inlineStr"/>
      <c r="E13" s="24" t="inlineStr">
        <is>
          <t>MB</t>
        </is>
      </c>
    </row>
    <row r="14">
      <c r="A14" s="24" t="inlineStr">
        <is>
          <t>puesto</t>
        </is>
      </c>
      <c r="B14" s="3" t="inlineStr">
        <is>
          <t>Puesto o lugar de relevamiento</t>
        </is>
      </c>
      <c r="C14" s="24" t="inlineStr">
        <is>
          <t>Identificación</t>
        </is>
      </c>
      <c r="D14" s="3" t="inlineStr"/>
      <c r="E14" s="24" t="inlineStr">
        <is>
          <t>Puesto 1</t>
        </is>
      </c>
    </row>
    <row r="15">
      <c r="A15" s="24" t="inlineStr">
        <is>
          <t>consentimiento</t>
        </is>
      </c>
      <c r="B15" s="3" t="inlineStr">
        <is>
          <t>Consentimiento informado</t>
        </is>
      </c>
      <c r="C15" s="24" t="inlineStr">
        <is>
          <t>Identificación</t>
        </is>
      </c>
      <c r="D15" s="3" t="inlineStr"/>
      <c r="E15" s="24" t="inlineStr">
        <is>
          <t>Sí</t>
        </is>
      </c>
    </row>
    <row r="16">
      <c r="A16" s="24" t="inlineStr">
        <is>
          <t>comparte_app</t>
        </is>
      </c>
      <c r="B16" s="3" t="inlineStr">
        <is>
          <t>Acepta compartir con la app de camioneros</t>
        </is>
      </c>
      <c r="C16" s="24" t="inlineStr">
        <is>
          <t>Identificación</t>
        </is>
      </c>
      <c r="D16" s="3" t="inlineStr"/>
      <c r="E16" s="24" t="inlineStr">
        <is>
          <t>Sí</t>
        </is>
      </c>
    </row>
    <row r="17">
      <c r="A17" s="24" t="inlineStr">
        <is>
          <t>socio_respondidas</t>
        </is>
      </c>
      <c r="B17" s="3" t="inlineStr">
        <is>
          <t>Preguntas sociodemográficas respondidas</t>
        </is>
      </c>
      <c r="C17" s="24" t="inlineStr">
        <is>
          <t>Identificación</t>
        </is>
      </c>
      <c r="D17" s="3" t="inlineStr"/>
      <c r="E17" s="24" t="n">
        <v>6</v>
      </c>
    </row>
    <row r="18">
      <c r="A18" s="24" t="inlineStr">
        <is>
          <t>socio_completo</t>
        </is>
      </c>
      <c r="B18" s="3" t="inlineStr">
        <is>
          <t>Módulo sociodemográfico completo</t>
        </is>
      </c>
      <c r="C18" s="24" t="inlineStr">
        <is>
          <t>Identificación</t>
        </is>
      </c>
      <c r="D18" s="3" t="inlineStr"/>
      <c r="E18" s="24" t="inlineStr">
        <is>
          <t>No</t>
        </is>
      </c>
    </row>
    <row r="19">
      <c r="A19" s="24" t="inlineStr">
        <is>
          <t>bio_completo</t>
        </is>
      </c>
      <c r="B19" s="3" t="inlineStr">
        <is>
          <t>Módulo biológico completo</t>
        </is>
      </c>
      <c r="C19" s="24" t="inlineStr">
        <is>
          <t>Identificación</t>
        </is>
      </c>
      <c r="D19" s="3" t="inlineStr"/>
      <c r="E19" s="24" t="inlineStr">
        <is>
          <t>Sí</t>
        </is>
      </c>
    </row>
    <row r="20">
      <c r="A20" s="24" t="inlineStr">
        <is>
          <t>gluc_realizada</t>
        </is>
      </c>
      <c r="B20" s="3" t="inlineStr">
        <is>
          <t>Glucometría realizada</t>
        </is>
      </c>
      <c r="C20" s="24" t="inlineStr">
        <is>
          <t>Identificación</t>
        </is>
      </c>
      <c r="D20" s="3" t="inlineStr"/>
      <c r="E20" s="24" t="inlineStr">
        <is>
          <t>Sí</t>
        </is>
      </c>
    </row>
    <row r="21">
      <c r="A21" s="24" t="inlineStr">
        <is>
          <t>estado</t>
        </is>
      </c>
      <c r="B21" s="3" t="inlineStr">
        <is>
          <t>Estado del relevamiento</t>
        </is>
      </c>
      <c r="C21" s="24" t="inlineStr">
        <is>
          <t>Identificación</t>
        </is>
      </c>
      <c r="D21" s="3" t="inlineStr"/>
      <c r="E21" s="24" t="inlineStr">
        <is>
          <t>finalizado</t>
        </is>
      </c>
    </row>
    <row r="22">
      <c r="A22" s="24" t="inlineStr">
        <is>
          <t>version_instrumento</t>
        </is>
      </c>
      <c r="B22" s="3" t="inlineStr">
        <is>
          <t>Versión del instrumento</t>
        </is>
      </c>
      <c r="C22" s="24" t="inlineStr">
        <is>
          <t>Identificación</t>
        </is>
      </c>
      <c r="D22" s="3" t="inlineStr"/>
      <c r="E22" s="24" t="inlineStr">
        <is>
          <t>2026-10-v2</t>
        </is>
      </c>
    </row>
    <row r="23">
      <c r="A23" s="24" t="inlineStr">
        <is>
          <t>modificado</t>
        </is>
      </c>
      <c r="B23" s="3" t="inlineStr">
        <is>
          <t>Última modificación (fecha y hora)</t>
        </is>
      </c>
      <c r="C23" s="24" t="inlineStr">
        <is>
          <t>Identificación</t>
        </is>
      </c>
      <c r="D23" s="3" t="inlineStr"/>
      <c r="E23" s="24" t="inlineStr">
        <is>
          <t>2026-10-07T14:30:00.000Z</t>
        </is>
      </c>
    </row>
    <row r="24">
      <c r="A24" s="24" t="inlineStr">
        <is>
          <t>p01_nac_pais</t>
        </is>
      </c>
      <c r="B24" s="3" t="inlineStr">
        <is>
          <t>1. Lugar de nacimiento</t>
        </is>
      </c>
      <c r="C24" s="24" t="inlineStr">
        <is>
          <t>Origen y educación</t>
        </is>
      </c>
      <c r="D24" s="3" t="inlineStr">
        <is>
          <t>Argentina; Brasil; Chile; Paraguay; Otro país</t>
        </is>
      </c>
      <c r="E24" s="24" t="inlineStr">
        <is>
          <t>Argentina</t>
        </is>
      </c>
    </row>
    <row r="25">
      <c r="A25" s="24" t="inlineStr">
        <is>
          <t>p01_nac_detalle</t>
        </is>
      </c>
      <c r="B25" s="3" t="inlineStr">
        <is>
          <t>1. Provincia (si responde «Argentina»)</t>
        </is>
      </c>
      <c r="C25" s="24" t="inlineStr">
        <is>
          <t>Origen y educación</t>
        </is>
      </c>
      <c r="D25" s="3" t="inlineStr">
        <is>
          <t>Texto libre</t>
        </is>
      </c>
      <c r="E25" s="24" t="inlineStr">
        <is>
          <t>Jujuy</t>
        </is>
      </c>
    </row>
    <row r="26">
      <c r="A26" s="24" t="inlineStr">
        <is>
          <t>p02_educacion</t>
        </is>
      </c>
      <c r="B26" s="3" t="inlineStr">
        <is>
          <t>2. Máximo nivel educativo alcanzado</t>
        </is>
      </c>
      <c r="C26" s="24" t="inlineStr">
        <is>
          <t>Origen y educación</t>
        </is>
      </c>
      <c r="D26" s="3" t="inlineStr">
        <is>
          <t>Primaria completa; Secundaria incompleta; Secundaria completa; Terciario incompleto; Terciario completo; Universitario incompleto; Universitario completo</t>
        </is>
      </c>
      <c r="E26" s="24" t="inlineStr">
        <is>
          <t>Secundaria completa</t>
        </is>
      </c>
    </row>
    <row r="27">
      <c r="A27" s="24" t="inlineStr">
        <is>
          <t>p03_pareja</t>
        </is>
      </c>
      <c r="B27" s="3" t="inlineStr">
        <is>
          <t>3. ¿Está actualmente en pareja?</t>
        </is>
      </c>
      <c r="C27" s="24" t="inlineStr">
        <is>
          <t>Hogar</t>
        </is>
      </c>
      <c r="D27" s="3" t="inlineStr">
        <is>
          <t>Sí; No</t>
        </is>
      </c>
      <c r="E27" s="24" t="inlineStr"/>
    </row>
    <row r="28">
      <c r="A28" s="24" t="inlineStr">
        <is>
          <t>p04_convive</t>
        </is>
      </c>
      <c r="B28" s="3" t="inlineStr">
        <is>
          <t>4. Cantidad de personas con que convive</t>
        </is>
      </c>
      <c r="C28" s="24" t="inlineStr">
        <is>
          <t>Hogar</t>
        </is>
      </c>
      <c r="D28" s="3" t="inlineStr">
        <is>
          <t>Ninguna (vive solo); 1; 2; 3; 4; 5; Más de 5</t>
        </is>
      </c>
      <c r="E28" s="24" t="inlineStr"/>
    </row>
    <row r="29">
      <c r="A29" s="24" t="inlineStr">
        <is>
          <t>p05_a_cargo</t>
        </is>
      </c>
      <c r="B29" s="3" t="inlineStr">
        <is>
          <t>5. Cantidad de personas que tiene a cargo</t>
        </is>
      </c>
      <c r="C29" s="24" t="inlineStr">
        <is>
          <t>Hogar</t>
        </is>
      </c>
      <c r="D29" s="3" t="inlineStr">
        <is>
          <t>Ninguna; 1; 2; 3; 4; 5; Más de 5</t>
        </is>
      </c>
      <c r="E29" s="24" t="inlineStr"/>
    </row>
    <row r="30">
      <c r="A30" s="24" t="inlineStr">
        <is>
          <t>p06_idiomas_entiende</t>
        </is>
      </c>
      <c r="B30" s="3" t="inlineStr">
        <is>
          <t>6. ¿Qué idioma(s) entiende?</t>
        </is>
      </c>
      <c r="C30" s="24" t="inlineStr">
        <is>
          <t>Idiomas y licencia</t>
        </is>
      </c>
      <c r="D30" s="3" t="inlineStr">
        <is>
          <t>Español; Guaraní; Portugués; Inglés; Otro</t>
        </is>
      </c>
      <c r="E30" s="24" t="inlineStr">
        <is>
          <t>Español; Portugués</t>
        </is>
      </c>
    </row>
    <row r="31">
      <c r="A31" s="24" t="inlineStr">
        <is>
          <t>p06_otro</t>
        </is>
      </c>
      <c r="B31" s="3" t="inlineStr">
        <is>
          <t>6. Especificar (si responde «Otro»)</t>
        </is>
      </c>
      <c r="C31" s="24" t="inlineStr">
        <is>
          <t>Idiomas y licencia</t>
        </is>
      </c>
      <c r="D31" s="3" t="inlineStr">
        <is>
          <t>Texto libre</t>
        </is>
      </c>
      <c r="E31" s="24" t="inlineStr"/>
    </row>
    <row r="32">
      <c r="A32" s="24" t="inlineStr">
        <is>
          <t>p07_idiomas_habla</t>
        </is>
      </c>
      <c r="B32" s="3" t="inlineStr">
        <is>
          <t>7. ¿Qué idioma(s) habla?</t>
        </is>
      </c>
      <c r="C32" s="24" t="inlineStr">
        <is>
          <t>Idiomas y licencia</t>
        </is>
      </c>
      <c r="D32" s="3" t="inlineStr">
        <is>
          <t>Español; Guaraní; Portugués; Inglés; Otro</t>
        </is>
      </c>
      <c r="E32" s="24" t="inlineStr"/>
    </row>
    <row r="33">
      <c r="A33" s="24" t="inlineStr">
        <is>
          <t>p07_otro</t>
        </is>
      </c>
      <c r="B33" s="3" t="inlineStr">
        <is>
          <t>7. Especificar (si responde «Otro»)</t>
        </is>
      </c>
      <c r="C33" s="24" t="inlineStr">
        <is>
          <t>Idiomas y licencia</t>
        </is>
      </c>
      <c r="D33" s="3" t="inlineStr">
        <is>
          <t>Texto libre</t>
        </is>
      </c>
      <c r="E33" s="24" t="inlineStr"/>
    </row>
    <row r="34">
      <c r="A34" s="24" t="inlineStr">
        <is>
          <t>p08_licencia</t>
        </is>
      </c>
      <c r="B34" s="3" t="inlineStr">
        <is>
          <t>8. ¿En qué país obtuvo su licencia de conducir profesional?</t>
        </is>
      </c>
      <c r="C34" s="24" t="inlineStr">
        <is>
          <t>Idiomas y licencia</t>
        </is>
      </c>
      <c r="D34" s="3" t="inlineStr">
        <is>
          <t>Argentina; Brasil; Chile; Paraguay; Otro</t>
        </is>
      </c>
      <c r="E34" s="24" t="inlineStr"/>
    </row>
    <row r="35">
      <c r="A35" s="24" t="inlineStr">
        <is>
          <t>p08_lic_otro</t>
        </is>
      </c>
      <c r="B35" s="3" t="inlineStr">
        <is>
          <t>8. ¿En qué país? (si responde «Otro»)</t>
        </is>
      </c>
      <c r="C35" s="24" t="inlineStr">
        <is>
          <t>Idiomas y licencia</t>
        </is>
      </c>
      <c r="D35" s="3" t="inlineStr">
        <is>
          <t>Texto libre</t>
        </is>
      </c>
      <c r="E35" s="24" t="inlineStr"/>
    </row>
    <row r="36">
      <c r="A36" s="24" t="inlineStr">
        <is>
          <t>p09_rutas_jujuy</t>
        </is>
      </c>
      <c r="B36" s="3" t="inlineStr">
        <is>
          <t>9. ¿Cómo es el estado de las rutas que recorre en Jujuy?</t>
        </is>
      </c>
      <c r="C36" s="24" t="inlineStr">
        <is>
          <t>Trabajo y recorrido</t>
        </is>
      </c>
      <c r="D36" s="3" t="inlineStr">
        <is>
          <t>Muy bueno; Bueno; Regular; Malo; Muy malo</t>
        </is>
      </c>
      <c r="E36" s="24" t="inlineStr"/>
    </row>
    <row r="37">
      <c r="A37" s="24" t="inlineStr">
        <is>
          <t>p10_anios_chofer</t>
        </is>
      </c>
      <c r="B37" s="3" t="inlineStr">
        <is>
          <t>10. ¿Hace cuántos años trabaja como chofer de camión?</t>
        </is>
      </c>
      <c r="C37" s="24" t="inlineStr">
        <is>
          <t>Trabajo y recorrido</t>
        </is>
      </c>
      <c r="D37" s="3" t="inlineStr"/>
      <c r="E37" s="24" t="n">
        <v>18</v>
      </c>
    </row>
    <row r="38">
      <c r="A38" s="24" t="inlineStr">
        <is>
          <t>p11_recorrido</t>
        </is>
      </c>
      <c r="B38" s="3" t="inlineStr">
        <is>
          <t>11. ¿Qué recorrido está realizando ahora?</t>
        </is>
      </c>
      <c r="C38" s="24" t="inlineStr">
        <is>
          <t>Trabajo y recorrido</t>
        </is>
      </c>
      <c r="D38" s="3" t="inlineStr">
        <is>
          <t>Viaje provincial (Jujuy); Viaje interprovincial; Viaje internacional</t>
        </is>
      </c>
      <c r="E38" s="24" t="inlineStr">
        <is>
          <t>Viaje internacional</t>
        </is>
      </c>
    </row>
    <row r="39">
      <c r="A39" s="24" t="inlineStr">
        <is>
          <t>p12_frec_corredor</t>
        </is>
      </c>
      <c r="B39" s="3" t="inlineStr">
        <is>
          <t>12. ¿Con qué frecuencia realiza ese recorrido? — Otros tramos del corredor + Jujuy</t>
        </is>
      </c>
      <c r="C39" s="24" t="inlineStr">
        <is>
          <t>Trabajo y recorrido</t>
        </is>
      </c>
      <c r="D39" s="3" t="inlineStr">
        <is>
          <t>Diariamente; Una vez a la semana; 2 veces por semana; 3 veces por semana; Quincenalmente; Una vez al mes; Otro</t>
        </is>
      </c>
      <c r="E39" s="24" t="inlineStr"/>
    </row>
    <row r="40">
      <c r="A40" s="24" t="inlineStr">
        <is>
          <t>p12_frec_corredor_otro</t>
        </is>
      </c>
      <c r="B40" s="3" t="inlineStr">
        <is>
          <t>12. Especificar (si responde «Otro»)</t>
        </is>
      </c>
      <c r="C40" s="24" t="inlineStr">
        <is>
          <t>Trabajo y recorrido</t>
        </is>
      </c>
      <c r="D40" s="3" t="inlineStr">
        <is>
          <t>Texto libre</t>
        </is>
      </c>
      <c r="E40" s="24" t="inlineStr"/>
    </row>
    <row r="41">
      <c r="A41" s="24" t="inlineStr">
        <is>
          <t>p12_frec_jujuy</t>
        </is>
      </c>
      <c r="B41" s="3" t="inlineStr">
        <is>
          <t>12. ¿Con qué frecuencia realiza ese recorrido? — Tramo Jujuy</t>
        </is>
      </c>
      <c r="C41" s="24" t="inlineStr">
        <is>
          <t>Trabajo y recorrido</t>
        </is>
      </c>
      <c r="D41" s="3" t="inlineStr">
        <is>
          <t>Diariamente; Una vez a la semana; 2 veces por semana; 3 veces por semana; Quincenalmente; Una vez al mes; Otro</t>
        </is>
      </c>
      <c r="E41" s="24" t="inlineStr"/>
    </row>
    <row r="42">
      <c r="A42" s="24" t="inlineStr">
        <is>
          <t>p12_frec_jujuy_otro</t>
        </is>
      </c>
      <c r="B42" s="3" t="inlineStr">
        <is>
          <t>12. Especificar (si responde «Otro»)</t>
        </is>
      </c>
      <c r="C42" s="24" t="inlineStr">
        <is>
          <t>Trabajo y recorrido</t>
        </is>
      </c>
      <c r="D42" s="3" t="inlineStr">
        <is>
          <t>Texto libre</t>
        </is>
      </c>
      <c r="E42" s="24" t="inlineStr"/>
    </row>
    <row r="43">
      <c r="A43" s="24" t="inlineStr">
        <is>
          <t>p13_relacion_laboral</t>
        </is>
      </c>
      <c r="B43" s="3" t="inlineStr">
        <is>
          <t>13. ¿Cuál es su relación laboral actual?</t>
        </is>
      </c>
      <c r="C43" s="24" t="inlineStr">
        <is>
          <t>Trabajo y recorrido</t>
        </is>
      </c>
      <c r="D43" s="3" t="inlineStr">
        <is>
          <t>Empleado; Dueño del camión; Otro</t>
        </is>
      </c>
      <c r="E43" s="24" t="inlineStr"/>
    </row>
    <row r="44">
      <c r="A44" s="24" t="inlineStr">
        <is>
          <t>p13_otro</t>
        </is>
      </c>
      <c r="B44" s="3" t="inlineStr">
        <is>
          <t>13. Especificar (si responde «Otro»)</t>
        </is>
      </c>
      <c r="C44" s="24" t="inlineStr">
        <is>
          <t>Trabajo y recorrido</t>
        </is>
      </c>
      <c r="D44" s="3" t="inlineStr">
        <is>
          <t>Texto libre</t>
        </is>
      </c>
      <c r="E44" s="24" t="inlineStr"/>
    </row>
    <row r="45">
      <c r="A45" s="24" t="inlineStr">
        <is>
          <t>p14_conformidad</t>
        </is>
      </c>
      <c r="B45" s="3" t="inlineStr">
        <is>
          <t>14. ¿Cómo se siente con su situación laboral actual?</t>
        </is>
      </c>
      <c r="C45" s="24" t="inlineStr">
        <is>
          <t>Trabajo y recorrido</t>
        </is>
      </c>
      <c r="D45" s="3" t="inlineStr">
        <is>
          <t>Conforme; Parcialmente conforme; Disconforme</t>
        </is>
      </c>
      <c r="E45" s="24" t="inlineStr"/>
    </row>
    <row r="46">
      <c r="A46" s="24" t="inlineStr">
        <is>
          <t>p15_riesgo_salud</t>
        </is>
      </c>
      <c r="B46" s="3" t="inlineStr">
        <is>
          <t>15. ¿Cree que su trabajo representa un riesgo para su salud?</t>
        </is>
      </c>
      <c r="C46" s="24" t="inlineStr">
        <is>
          <t>Trabajo y recorrido</t>
        </is>
      </c>
      <c r="D46" s="3" t="inlineStr">
        <is>
          <t>Sí; No; Duda</t>
        </is>
      </c>
      <c r="E46" s="24" t="inlineStr"/>
    </row>
    <row r="47">
      <c r="A47" s="24" t="inlineStr">
        <is>
          <t>p16_horas_sin_parar</t>
        </is>
      </c>
      <c r="B47" s="3" t="inlineStr">
        <is>
          <t>16. Por lo general, ¿cuántas horas conduce sin hacer paradas?</t>
        </is>
      </c>
      <c r="C47" s="24" t="inlineStr">
        <is>
          <t>Trabajo y recorrido</t>
        </is>
      </c>
      <c r="D47" s="3" t="inlineStr"/>
      <c r="E47" s="24" t="n">
        <v>4.5</v>
      </c>
    </row>
    <row r="48">
      <c r="A48" s="24" t="inlineStr">
        <is>
          <t>p17_paradas</t>
        </is>
      </c>
      <c r="B48" s="3" t="inlineStr">
        <is>
          <t>17. ¿Realiza paradas durante su recorrido?</t>
        </is>
      </c>
      <c r="C48" s="24" t="inlineStr">
        <is>
          <t>Trabajo y recorrido</t>
        </is>
      </c>
      <c r="D48" s="3" t="inlineStr">
        <is>
          <t>Sí; No</t>
        </is>
      </c>
      <c r="E48" s="24" t="inlineStr"/>
    </row>
    <row r="49">
      <c r="A49" s="24" t="inlineStr">
        <is>
          <t>p18_donde_come</t>
        </is>
      </c>
      <c r="B49" s="3" t="inlineStr">
        <is>
          <t>18. ¿Dónde suele comer durante los viajes?</t>
        </is>
      </c>
      <c r="C49" s="24" t="inlineStr">
        <is>
          <t>Hábitos en ruta</t>
        </is>
      </c>
      <c r="D49" s="3" t="inlineStr">
        <is>
          <t>Paradores; En el camión al costado de la ruta; Estaciones de servicio; En casas de familiares o conocidos; Otro</t>
        </is>
      </c>
      <c r="E49" s="24" t="inlineStr"/>
    </row>
    <row r="50">
      <c r="A50" s="24" t="inlineStr">
        <is>
          <t>p18_otro</t>
        </is>
      </c>
      <c r="B50" s="3" t="inlineStr">
        <is>
          <t>18. Especificar (si responde «Otro»)</t>
        </is>
      </c>
      <c r="C50" s="24" t="inlineStr">
        <is>
          <t>Hábitos en ruta</t>
        </is>
      </c>
      <c r="D50" s="3" t="inlineStr">
        <is>
          <t>Texto libre</t>
        </is>
      </c>
      <c r="E50" s="24" t="inlineStr"/>
    </row>
    <row r="51">
      <c r="A51" s="24" t="inlineStr">
        <is>
          <t>p19_horas_sueno</t>
        </is>
      </c>
      <c r="B51" s="3" t="inlineStr">
        <is>
          <t>19. ¿Cuántas horas duerme por día?</t>
        </is>
      </c>
      <c r="C51" s="24" t="inlineStr">
        <is>
          <t>Hábitos en ruta</t>
        </is>
      </c>
      <c r="D51" s="3" t="inlineStr"/>
      <c r="E51" s="24" t="inlineStr"/>
    </row>
    <row r="52">
      <c r="A52" s="24" t="inlineStr">
        <is>
          <t>p20_frutas_verduras</t>
        </is>
      </c>
      <c r="B52" s="3" t="inlineStr">
        <is>
          <t>20. ¿Con qué frecuencia consume frutas y verduras mientras está en ruta?</t>
        </is>
      </c>
      <c r="C52" s="24" t="inlineStr">
        <is>
          <t>Hábitos en ruta</t>
        </is>
      </c>
      <c r="D52" s="3" t="inlineStr">
        <is>
          <t>Todos los días; Varias veces por semana; Casi nunca; Nunca</t>
        </is>
      </c>
      <c r="E52" s="24" t="inlineStr"/>
    </row>
    <row r="53">
      <c r="A53" s="24" t="inlineStr">
        <is>
          <t>p21_bebidas</t>
        </is>
      </c>
      <c r="B53" s="3" t="inlineStr">
        <is>
          <t>21. ¿Qué bebidas consume durante sus viajes?</t>
        </is>
      </c>
      <c r="C53" s="24" t="inlineStr">
        <is>
          <t>Hábitos en ruta</t>
        </is>
      </c>
      <c r="D53" s="3" t="inlineStr">
        <is>
          <t>Agua; Jugos artificiales; Jugos naturales; Gaseosas; Café; Té; Mate; Otro</t>
        </is>
      </c>
      <c r="E53" s="24" t="inlineStr"/>
    </row>
    <row r="54">
      <c r="A54" s="24" t="inlineStr">
        <is>
          <t>p21_otro</t>
        </is>
      </c>
      <c r="B54" s="3" t="inlineStr">
        <is>
          <t>21. Especificar (si responde «Otro»)</t>
        </is>
      </c>
      <c r="C54" s="24" t="inlineStr">
        <is>
          <t>Hábitos en ruta</t>
        </is>
      </c>
      <c r="D54" s="3" t="inlineStr">
        <is>
          <t>Texto libre</t>
        </is>
      </c>
      <c r="E54" s="24" t="inlineStr"/>
    </row>
    <row r="55">
      <c r="A55" s="24" t="inlineStr">
        <is>
          <t>p22_sanitarios</t>
        </is>
      </c>
      <c r="B55" s="3" t="inlineStr">
        <is>
          <t>22. ¿Suele tener acceso a sanitarios en sus recorridos?</t>
        </is>
      </c>
      <c r="C55" s="24" t="inlineStr">
        <is>
          <t>Hábitos en ruta</t>
        </is>
      </c>
      <c r="D55" s="3" t="inlineStr">
        <is>
          <t>Sí, siempre; A veces; Casi nunca; Nunca</t>
        </is>
      </c>
      <c r="E55" s="24" t="inlineStr"/>
    </row>
    <row r="56">
      <c r="A56" s="24" t="inlineStr">
        <is>
          <t>p23_recreativas</t>
        </is>
      </c>
      <c r="B56" s="3" t="inlineStr">
        <is>
          <t>23. ¿Dedica tiempo al mes a actividades recreativas (cine, paseos, deporte, etc.)?</t>
        </is>
      </c>
      <c r="C56" s="24" t="inlineStr">
        <is>
          <t>Hábitos en ruta</t>
        </is>
      </c>
      <c r="D56" s="3" t="inlineStr">
        <is>
          <t>Sí; Algunas veces; Rara vez; No</t>
        </is>
      </c>
      <c r="E56" s="24" t="inlineStr"/>
    </row>
    <row r="57">
      <c r="A57" s="24" t="inlineStr">
        <is>
          <t>p24_siniestro</t>
        </is>
      </c>
      <c r="B57" s="3" t="inlineStr">
        <is>
          <t>24. ¿Ha tenido algún siniestro vial en el último año?</t>
        </is>
      </c>
      <c r="C57" s="24" t="inlineStr">
        <is>
          <t>Economía y salud</t>
        </is>
      </c>
      <c r="D57" s="3" t="inlineStr">
        <is>
          <t>Sí; No</t>
        </is>
      </c>
      <c r="E57" s="24" t="inlineStr"/>
    </row>
    <row r="58">
      <c r="A58" s="24" t="inlineStr">
        <is>
          <t>p25_fin_de_mes</t>
        </is>
      </c>
      <c r="B58" s="3" t="inlineStr">
        <is>
          <t>25. Con lo que gana, ¿llega a fin de mes?</t>
        </is>
      </c>
      <c r="C58" s="24" t="inlineStr">
        <is>
          <t>Economía y salud</t>
        </is>
      </c>
      <c r="D58" s="3" t="inlineStr">
        <is>
          <t>Sí; Parcialmente; No</t>
        </is>
      </c>
      <c r="E58" s="24" t="inlineStr"/>
    </row>
    <row r="59">
      <c r="A59" s="24" t="inlineStr">
        <is>
          <t>p26_cobertura</t>
        </is>
      </c>
      <c r="B59" s="3" t="inlineStr">
        <is>
          <t>26. ¿Tiene cobertura médica?</t>
        </is>
      </c>
      <c r="C59" s="24" t="inlineStr">
        <is>
          <t>Economía y salud</t>
        </is>
      </c>
      <c r="D59" s="3" t="inlineStr">
        <is>
          <t>Obra social; Prepaga; Seguro de salud; Ninguna</t>
        </is>
      </c>
      <c r="E59" s="24" t="inlineStr"/>
    </row>
    <row r="60">
      <c r="A60" s="24" t="inlineStr">
        <is>
          <t>p27_control_medico</t>
        </is>
      </c>
      <c r="B60" s="3" t="inlineStr">
        <is>
          <t>27. ¿Dónde recurre para control médico?</t>
        </is>
      </c>
      <c r="C60" s="24" t="inlineStr">
        <is>
          <t>Economía y salud</t>
        </is>
      </c>
      <c r="D60" s="3" t="inlineStr">
        <is>
          <t>Sistema público; Sistema privado; Ninguno</t>
        </is>
      </c>
      <c r="E60" s="24" t="inlineStr"/>
    </row>
    <row r="61">
      <c r="A61" s="24" t="inlineStr">
        <is>
          <t>p28_frec_consulta</t>
        </is>
      </c>
      <c r="B61" s="3" t="inlineStr">
        <is>
          <t>28. ¿Con qué frecuencia consulta al médico, aunque no presente síntomas?</t>
        </is>
      </c>
      <c r="C61" s="24" t="inlineStr">
        <is>
          <t>Economía y salud</t>
        </is>
      </c>
      <c r="D61" s="3" t="inlineStr">
        <is>
          <t>Una vez al mes; 2 veces al año; Una vez al año; Solo cuando me siento mal; Nunca</t>
        </is>
      </c>
      <c r="E61" s="24" t="inlineStr"/>
    </row>
    <row r="62">
      <c r="A62" s="24" t="inlineStr">
        <is>
          <t>p29_atencion_dolencias</t>
        </is>
      </c>
      <c r="B62" s="3" t="inlineStr">
        <is>
          <t>29. ¿Dónde recurre para atención de dolencias, malestar o síntomas?</t>
        </is>
      </c>
      <c r="C62" s="24" t="inlineStr">
        <is>
          <t>Economía y salud</t>
        </is>
      </c>
      <c r="D62" s="3" t="inlineStr">
        <is>
          <t>Sistema público; Sistema privado; Otros (medicina tradicional, alternativa, etc.); Ninguno</t>
        </is>
      </c>
      <c r="E62" s="24" t="inlineStr"/>
    </row>
    <row r="63">
      <c r="A63" s="24" t="inlineStr">
        <is>
          <t>p30_dolores</t>
        </is>
      </c>
      <c r="B63" s="3" t="inlineStr">
        <is>
          <t>30. ¿Tiene dolores frecuentes en alguna parte del cuerpo?</t>
        </is>
      </c>
      <c r="C63" s="24" t="inlineStr">
        <is>
          <t>Economía y salud</t>
        </is>
      </c>
      <c r="D63" s="3" t="inlineStr">
        <is>
          <t>Sí; No</t>
        </is>
      </c>
      <c r="E63" s="24" t="inlineStr"/>
    </row>
    <row r="64">
      <c r="A64" s="24" t="inlineStr">
        <is>
          <t>p30_cuales</t>
        </is>
      </c>
      <c r="B64" s="3" t="inlineStr">
        <is>
          <t>30. ¿Qué dolores corporales presenta? (si responde «Sí»)</t>
        </is>
      </c>
      <c r="C64" s="24" t="inlineStr">
        <is>
          <t>Economía y salud</t>
        </is>
      </c>
      <c r="D64" s="3" t="inlineStr">
        <is>
          <t>Texto libre</t>
        </is>
      </c>
      <c r="E64" s="24" t="inlineStr"/>
    </row>
    <row r="65">
      <c r="A65" s="24" t="inlineStr">
        <is>
          <t>p31_automedicacion</t>
        </is>
      </c>
      <c r="B65" s="3" t="inlineStr">
        <is>
          <t>31. Sin indicación médica, suele tomar:</t>
        </is>
      </c>
      <c r="C65" s="24" t="inlineStr">
        <is>
          <t>Economía y salud</t>
        </is>
      </c>
      <c r="D65" s="3" t="inlineStr">
        <is>
          <t>Medicamentos; Hierbas; Ninguno</t>
        </is>
      </c>
      <c r="E65" s="24" t="inlineStr"/>
    </row>
    <row r="66">
      <c r="A66" s="24" t="inlineStr">
        <is>
          <t>p32_cuales_med</t>
        </is>
      </c>
      <c r="B66" s="3" t="inlineStr">
        <is>
          <t>32. ¿Qué medicamentos o hierbas toma?</t>
        </is>
      </c>
      <c r="C66" s="24" t="inlineStr">
        <is>
          <t>Economía y salud</t>
        </is>
      </c>
      <c r="D66" s="3" t="inlineStr">
        <is>
          <t>Texto libre</t>
        </is>
      </c>
      <c r="E66" s="24" t="inlineStr"/>
    </row>
    <row r="67">
      <c r="A67" s="24" t="inlineStr">
        <is>
          <t>p33_diagnosticos</t>
        </is>
      </c>
      <c r="B67" s="3" t="inlineStr">
        <is>
          <t>33. Actualmente, ¿ha sido diagnosticado con alguna enfermedad?</t>
        </is>
      </c>
      <c r="C67" s="24" t="inlineStr">
        <is>
          <t>Economía y salud</t>
        </is>
      </c>
      <c r="D67" s="3" t="inlineStr">
        <is>
          <t>No tengo diagnóstico de enfermedad; Musculoesqueléticos; Renal; Ocular; Digestivas; Auditivo; Respiratorias; Obesidad; Osteoarticular; VIH/SIDA; Otros</t>
        </is>
      </c>
      <c r="E67" s="24" t="inlineStr"/>
    </row>
    <row r="68">
      <c r="A68" s="24" t="inlineStr">
        <is>
          <t>p33_otro</t>
        </is>
      </c>
      <c r="B68" s="3" t="inlineStr">
        <is>
          <t>33. Especificar (si responde «Otros»)</t>
        </is>
      </c>
      <c r="C68" s="24" t="inlineStr">
        <is>
          <t>Economía y salud</t>
        </is>
      </c>
      <c r="D68" s="3" t="inlineStr">
        <is>
          <t>Texto libre</t>
        </is>
      </c>
      <c r="E68" s="24" t="inlineStr"/>
    </row>
    <row r="69">
      <c r="A69" s="24" t="inlineStr">
        <is>
          <t>p34_actividad_fisica</t>
        </is>
      </c>
      <c r="B69" s="3" t="inlineStr">
        <is>
          <t>34. ¿Con qué frecuencia realiza actividad física fuera del trabajo?</t>
        </is>
      </c>
      <c r="C69" s="24" t="inlineStr">
        <is>
          <t>Consumos y vínculos</t>
        </is>
      </c>
      <c r="D69" s="3" t="inlineStr">
        <is>
          <t>Varias veces a la semana (4 o más); 2 a 3 veces por semana; Una vez a la semana; Rara vez; Nunca</t>
        </is>
      </c>
      <c r="E69" s="24" t="inlineStr"/>
    </row>
    <row r="70">
      <c r="A70" s="24" t="inlineStr">
        <is>
          <t>p35_energeticas</t>
        </is>
      </c>
      <c r="B70" s="3" t="inlineStr">
        <is>
          <t>35. ¿Consume bebidas energéticas durante sus viajes?</t>
        </is>
      </c>
      <c r="C70" s="24" t="inlineStr">
        <is>
          <t>Consumos y vínculos</t>
        </is>
      </c>
      <c r="D70" s="3" t="inlineStr">
        <is>
          <t>No; Café; Coca-Cola; Pepsi-Cola; Yerba mate; Energizantes (Speed, Monster, Red Bull, etc.); Otro</t>
        </is>
      </c>
      <c r="E70" s="24" t="inlineStr"/>
    </row>
    <row r="71">
      <c r="A71" s="24" t="inlineStr">
        <is>
          <t>p35_otro</t>
        </is>
      </c>
      <c r="B71" s="3" t="inlineStr">
        <is>
          <t>35. Especificar (si responde «Otro»)</t>
        </is>
      </c>
      <c r="C71" s="24" t="inlineStr">
        <is>
          <t>Consumos y vínculos</t>
        </is>
      </c>
      <c r="D71" s="3" t="inlineStr">
        <is>
          <t>Texto libre</t>
        </is>
      </c>
      <c r="E71" s="24" t="inlineStr"/>
    </row>
    <row r="72">
      <c r="A72" s="24" t="inlineStr">
        <is>
          <t>p36_coquea</t>
        </is>
      </c>
      <c r="B72" s="3" t="inlineStr">
        <is>
          <t>36. ¿Usted coquea?</t>
        </is>
      </c>
      <c r="C72" s="24" t="inlineStr">
        <is>
          <t>Consumos y vínculos</t>
        </is>
      </c>
      <c r="D72" s="3" t="inlineStr">
        <is>
          <t>Sí; No</t>
        </is>
      </c>
      <c r="E72" s="24" t="inlineStr"/>
    </row>
    <row r="73">
      <c r="A73" s="24" t="inlineStr">
        <is>
          <t>p37_alcohol</t>
        </is>
      </c>
      <c r="B73" s="3" t="inlineStr">
        <is>
          <t>37. ¿Consume bebidas alcohólicas? (en horario NO laboral)</t>
        </is>
      </c>
      <c r="C73" s="24" t="inlineStr">
        <is>
          <t>Consumos y vínculos</t>
        </is>
      </c>
      <c r="D73" s="3" t="inlineStr">
        <is>
          <t>Sí; No</t>
        </is>
      </c>
      <c r="E73" s="24" t="inlineStr"/>
    </row>
    <row r="74">
      <c r="A74" s="24" t="inlineStr">
        <is>
          <t>p38_comunicacion</t>
        </is>
      </c>
      <c r="B74" s="3" t="inlineStr">
        <is>
          <t>38. ¿Con qué frecuencia se comunica con colegas durante sus viajes?</t>
        </is>
      </c>
      <c r="C74" s="24" t="inlineStr">
        <is>
          <t>Consumos y vínculos</t>
        </is>
      </c>
      <c r="D74" s="3" t="inlineStr">
        <is>
          <t>Siempre; A veces; Nunca</t>
        </is>
      </c>
      <c r="E74" s="24" t="inlineStr"/>
    </row>
    <row r="75">
      <c r="A75" s="24" t="inlineStr">
        <is>
          <t>p39_comparte_trayectos</t>
        </is>
      </c>
      <c r="B75" s="3" t="inlineStr">
        <is>
          <t>39. ¿Suele compartir trayectos con otros choferes?</t>
        </is>
      </c>
      <c r="C75" s="24" t="inlineStr">
        <is>
          <t>Consumos y vínculos</t>
        </is>
      </c>
      <c r="D75" s="3" t="inlineStr">
        <is>
          <t>Sí; No</t>
        </is>
      </c>
      <c r="E75" s="24" t="inlineStr"/>
    </row>
    <row r="76">
      <c r="A76" s="24" t="inlineStr">
        <is>
          <t>b_dbt_dx</t>
        </is>
      </c>
      <c r="B76" s="3" t="inlineStr">
        <is>
          <t>¿Tiene diagnóstico de diabetes?</t>
        </is>
      </c>
      <c r="C76" s="24" t="inlineStr">
        <is>
          <t>Biológica</t>
        </is>
      </c>
      <c r="D76" s="3" t="inlineStr">
        <is>
          <t>Sí; No</t>
        </is>
      </c>
      <c r="E76" s="24" t="inlineStr">
        <is>
          <t>No</t>
        </is>
      </c>
    </row>
    <row r="77">
      <c r="A77" s="24" t="inlineStr">
        <is>
          <t>b_sexo</t>
        </is>
      </c>
      <c r="B77" s="3" t="inlineStr">
        <is>
          <t>Sexo</t>
        </is>
      </c>
      <c r="C77" s="24" t="inlineStr">
        <is>
          <t>Biológica</t>
        </is>
      </c>
      <c r="D77" s="3" t="inlineStr">
        <is>
          <t>Mujer; Varón; Otro</t>
        </is>
      </c>
      <c r="E77" s="24" t="inlineStr">
        <is>
          <t>Varón</t>
        </is>
      </c>
    </row>
    <row r="78">
      <c r="A78" s="24" t="inlineStr">
        <is>
          <t>b_peso_kg</t>
        </is>
      </c>
      <c r="B78" s="3" t="inlineStr">
        <is>
          <t>Peso (kg)</t>
        </is>
      </c>
      <c r="C78" s="24" t="inlineStr">
        <is>
          <t>Biológica</t>
        </is>
      </c>
      <c r="D78" s="3" t="inlineStr"/>
      <c r="E78" s="24" t="n">
        <v>86.40000000000001</v>
      </c>
    </row>
    <row r="79">
      <c r="A79" s="24" t="inlineStr">
        <is>
          <t>b_altura_m</t>
        </is>
      </c>
      <c r="B79" s="3" t="inlineStr">
        <is>
          <t>Altura (m)</t>
        </is>
      </c>
      <c r="C79" s="24" t="inlineStr">
        <is>
          <t>Biológica</t>
        </is>
      </c>
      <c r="D79" s="3" t="inlineStr"/>
      <c r="E79" s="24" t="n">
        <v>1.72</v>
      </c>
    </row>
    <row r="80">
      <c r="A80" s="24" t="inlineStr">
        <is>
          <t>b_imc</t>
        </is>
      </c>
      <c r="B80" s="3" t="inlineStr">
        <is>
          <t>IMC (calculado)</t>
        </is>
      </c>
      <c r="C80" s="24" t="inlineStr">
        <is>
          <t>Biológica</t>
        </is>
      </c>
      <c r="D80" s="3" t="inlineStr"/>
      <c r="E80" s="24" t="n">
        <v>29.2</v>
      </c>
    </row>
    <row r="81">
      <c r="A81" s="24" t="inlineStr">
        <is>
          <t>b_perimetro_cm</t>
        </is>
      </c>
      <c r="B81" s="3" t="inlineStr">
        <is>
          <t>Perímetro abdominal (cm)</t>
        </is>
      </c>
      <c r="C81" s="24" t="inlineStr">
        <is>
          <t>Biológica</t>
        </is>
      </c>
      <c r="D81" s="3" t="inlineStr"/>
      <c r="E81" s="24" t="n">
        <v>101</v>
      </c>
    </row>
    <row r="82">
      <c r="A82" s="24" t="inlineStr">
        <is>
          <t>b_pas_mmhg</t>
        </is>
      </c>
      <c r="B82" s="3" t="inlineStr">
        <is>
          <t>Presión arterial sistólica (mmHg)</t>
        </is>
      </c>
      <c r="C82" s="24" t="inlineStr">
        <is>
          <t>Biológica</t>
        </is>
      </c>
      <c r="D82" s="3" t="inlineStr"/>
      <c r="E82" s="24" t="n">
        <v>138</v>
      </c>
    </row>
    <row r="83">
      <c r="A83" s="24" t="inlineStr">
        <is>
          <t>b_pad_mmhg</t>
        </is>
      </c>
      <c r="B83" s="3" t="inlineStr">
        <is>
          <t>Presión arterial diastólica (mmHg)</t>
        </is>
      </c>
      <c r="C83" s="24" t="inlineStr">
        <is>
          <t>Biológica</t>
        </is>
      </c>
      <c r="D83" s="3" t="inlineStr"/>
      <c r="E83" s="24" t="n">
        <v>88</v>
      </c>
    </row>
    <row r="84">
      <c r="A84" s="24" t="inlineStr">
        <is>
          <t>b_act_fisica</t>
        </is>
      </c>
      <c r="B84" s="3" t="inlineStr">
        <is>
          <t>¿Hace actividad física regularmente? (al menos 30 min por día)</t>
        </is>
      </c>
      <c r="C84" s="24" t="inlineStr">
        <is>
          <t>Biológica</t>
        </is>
      </c>
      <c r="D84" s="3" t="inlineStr">
        <is>
          <t>Sí; No</t>
        </is>
      </c>
      <c r="E84" s="24" t="inlineStr">
        <is>
          <t>No</t>
        </is>
      </c>
    </row>
    <row r="85">
      <c r="A85" s="24" t="inlineStr">
        <is>
          <t>b_fyv_diario</t>
        </is>
      </c>
      <c r="B85" s="3" t="inlineStr">
        <is>
          <t>¿Consume frutas o verduras todos los días?</t>
        </is>
      </c>
      <c r="C85" s="24" t="inlineStr">
        <is>
          <t>Biológica</t>
        </is>
      </c>
      <c r="D85" s="3" t="inlineStr">
        <is>
          <t>Sí; No</t>
        </is>
      </c>
      <c r="E85" s="24" t="inlineStr">
        <is>
          <t>No</t>
        </is>
      </c>
    </row>
    <row r="86">
      <c r="A86" s="24" t="inlineStr">
        <is>
          <t>b_hta_dx</t>
        </is>
      </c>
      <c r="B86" s="3" t="inlineStr">
        <is>
          <t>¿Tiene diagnóstico de hipertensión?</t>
        </is>
      </c>
      <c r="C86" s="24" t="inlineStr">
        <is>
          <t>Biológica</t>
        </is>
      </c>
      <c r="D86" s="3" t="inlineStr">
        <is>
          <t>Sí; No</t>
        </is>
      </c>
      <c r="E86" s="24" t="inlineStr">
        <is>
          <t>No</t>
        </is>
      </c>
    </row>
    <row r="87">
      <c r="A87" s="24" t="inlineStr">
        <is>
          <t>b_med_antihta</t>
        </is>
      </c>
      <c r="B87" s="3" t="inlineStr">
        <is>
          <t>¿Toma medicación antihipertensiva?</t>
        </is>
      </c>
      <c r="C87" s="24" t="inlineStr">
        <is>
          <t>Biológica</t>
        </is>
      </c>
      <c r="D87" s="3" t="inlineStr">
        <is>
          <t>Sí; No</t>
        </is>
      </c>
      <c r="E87" s="24" t="inlineStr">
        <is>
          <t>No</t>
        </is>
      </c>
    </row>
    <row r="88">
      <c r="A88" s="24" t="inlineStr">
        <is>
          <t>b_glucosa_previa</t>
        </is>
      </c>
      <c r="B88" s="3" t="inlineStr">
        <is>
          <t>¿Tuvo glucosa elevada en sangre alguna vez?</t>
        </is>
      </c>
      <c r="C88" s="24" t="inlineStr">
        <is>
          <t>Biológica</t>
        </is>
      </c>
      <c r="D88" s="3" t="inlineStr">
        <is>
          <t>Sí; No</t>
        </is>
      </c>
      <c r="E88" s="24" t="inlineStr">
        <is>
          <t>No</t>
        </is>
      </c>
    </row>
    <row r="89">
      <c r="A89" s="24" t="inlineStr">
        <is>
          <t>b_antec_fam_dbt</t>
        </is>
      </c>
      <c r="B89" s="3" t="inlineStr">
        <is>
          <t>Antecedentes familiares de diabetes</t>
        </is>
      </c>
      <c r="C89" s="24" t="inlineStr">
        <is>
          <t>Biológica</t>
        </is>
      </c>
      <c r="D89" s="3" t="inlineStr">
        <is>
          <t>No; Sí, parientes lejanos; Sí, primer grado</t>
        </is>
      </c>
      <c r="E89" s="24" t="inlineStr">
        <is>
          <t>Sí, primer grado</t>
        </is>
      </c>
    </row>
    <row r="90">
      <c r="A90" s="24" t="inlineStr">
        <is>
          <t>b_fuma</t>
        </is>
      </c>
      <c r="B90" s="3" t="inlineStr">
        <is>
          <t>¿Fuma tabaco?</t>
        </is>
      </c>
      <c r="C90" s="24" t="inlineStr">
        <is>
          <t>Biológica</t>
        </is>
      </c>
      <c r="D90" s="3" t="inlineStr">
        <is>
          <t>Sí; No</t>
        </is>
      </c>
      <c r="E90" s="24" t="inlineStr">
        <is>
          <t>Sí</t>
        </is>
      </c>
    </row>
    <row r="91">
      <c r="A91" s="24" t="inlineStr">
        <is>
          <t>g_acepta</t>
        </is>
      </c>
      <c r="B91" s="3" t="inlineStr">
        <is>
          <t>¿Acepta evaluarse el nivel de azúcar en sangre?</t>
        </is>
      </c>
      <c r="C91" s="24" t="inlineStr">
        <is>
          <t>Biológica</t>
        </is>
      </c>
      <c r="D91" s="3" t="inlineStr">
        <is>
          <t>Sí; No</t>
        </is>
      </c>
      <c r="E91" s="24" t="inlineStr">
        <is>
          <t>Sí</t>
        </is>
      </c>
    </row>
    <row r="92">
      <c r="A92" s="24" t="inlineStr">
        <is>
          <t>g_hora_ingesta</t>
        </is>
      </c>
      <c r="B92" s="3" t="inlineStr">
        <is>
          <t>Hora de la última ingesta (líquido o sólido)</t>
        </is>
      </c>
      <c r="C92" s="24" t="inlineStr">
        <is>
          <t>Biológica</t>
        </is>
      </c>
      <c r="D92" s="3" t="inlineStr"/>
      <c r="E92" s="24" t="inlineStr">
        <is>
          <t>08:15</t>
        </is>
      </c>
    </row>
    <row r="93">
      <c r="A93" s="24" t="inlineStr">
        <is>
          <t>g_que_ingirio</t>
        </is>
      </c>
      <c r="B93" s="3" t="inlineStr">
        <is>
          <t>¿Qué comió o bebió?</t>
        </is>
      </c>
      <c r="C93" s="24" t="inlineStr">
        <is>
          <t>Biológica</t>
        </is>
      </c>
      <c r="D93" s="3" t="inlineStr"/>
      <c r="E93" s="24" t="inlineStr">
        <is>
          <t>Mate y pan</t>
        </is>
      </c>
    </row>
    <row r="94">
      <c r="A94" s="24" t="inlineStr">
        <is>
          <t>g_hora_medicion</t>
        </is>
      </c>
      <c r="B94" s="3" t="inlineStr">
        <is>
          <t>Hora de la medición</t>
        </is>
      </c>
      <c r="C94" s="24" t="inlineStr">
        <is>
          <t>Biológica</t>
        </is>
      </c>
      <c r="D94" s="3" t="inlineStr"/>
      <c r="E94" s="24" t="inlineStr">
        <is>
          <t>11:20</t>
        </is>
      </c>
    </row>
    <row r="95">
      <c r="A95" s="24" t="inlineStr">
        <is>
          <t>g_resultado_mgdl</t>
        </is>
      </c>
      <c r="B95" s="3" t="inlineStr">
        <is>
          <t>Resultado de glucometría periférica (mg/dL)</t>
        </is>
      </c>
      <c r="C95" s="24" t="inlineStr">
        <is>
          <t>Biológica</t>
        </is>
      </c>
      <c r="D95" s="3" t="inlineStr"/>
      <c r="E95" s="24" t="n">
        <v>112</v>
      </c>
    </row>
    <row r="96">
      <c r="A96" s="24" t="inlineStr">
        <is>
          <t>g_ayuno_min</t>
        </is>
      </c>
      <c r="B96" s="3" t="inlineStr">
        <is>
          <t>Minutos de ayuno (calculado)</t>
        </is>
      </c>
      <c r="C96" s="24" t="inlineStr">
        <is>
          <t>Calculados</t>
        </is>
      </c>
      <c r="D96" s="3" t="inlineStr"/>
      <c r="E96" s="24" t="n">
        <v>185</v>
      </c>
    </row>
    <row r="97">
      <c r="A97" s="24" t="inlineStr">
        <is>
          <t>fr_aplica</t>
        </is>
      </c>
      <c r="B97" s="3" t="inlineStr">
        <is>
          <t>FINDRISK: ¿corresponde aplicarlo?</t>
        </is>
      </c>
      <c r="C97" s="24" t="inlineStr">
        <is>
          <t>Calculados</t>
        </is>
      </c>
      <c r="D97" s="3" t="inlineStr"/>
      <c r="E97" s="24" t="inlineStr">
        <is>
          <t>Sí</t>
        </is>
      </c>
    </row>
    <row r="98">
      <c r="A98" s="24" t="inlineStr">
        <is>
          <t>fr_puntos</t>
        </is>
      </c>
      <c r="B98" s="3" t="inlineStr">
        <is>
          <t>FINDRISK: puntaje total</t>
        </is>
      </c>
      <c r="C98" s="24" t="inlineStr">
        <is>
          <t>Calculados</t>
        </is>
      </c>
      <c r="D98" s="3" t="inlineStr"/>
      <c r="E98" s="24" t="n">
        <v>12</v>
      </c>
    </row>
    <row r="99">
      <c r="A99" s="24" t="inlineStr">
        <is>
          <t>fr_categoria</t>
        </is>
      </c>
      <c r="B99" s="3" t="inlineStr">
        <is>
          <t>FINDRISK: nivel de riesgo</t>
        </is>
      </c>
      <c r="C99" s="24" t="inlineStr">
        <is>
          <t>Calculados</t>
        </is>
      </c>
      <c r="D99" s="3" t="inlineStr">
        <is>
          <t>Bajo; Ligeramente elevado; Moderado; Alto; Muy alto</t>
        </is>
      </c>
      <c r="E99" s="24" t="inlineStr">
        <is>
          <t>Moderado</t>
        </is>
      </c>
    </row>
    <row r="100">
      <c r="A100" s="24" t="inlineStr">
        <is>
          <t>fr_probabilidad</t>
        </is>
      </c>
      <c r="B100" s="3" t="inlineStr">
        <is>
          <t>FINDRISK: probabilidad de diabetes a 10 años</t>
        </is>
      </c>
      <c r="C100" s="24" t="inlineStr">
        <is>
          <t>Calculados</t>
        </is>
      </c>
      <c r="D100" s="3" t="inlineStr"/>
      <c r="E100" s="24" t="inlineStr">
        <is>
          <t>17 %</t>
        </is>
      </c>
    </row>
    <row r="101">
      <c r="A101" s="24" t="inlineStr">
        <is>
          <t>fh_aplica</t>
        </is>
      </c>
      <c r="B101" s="3" t="inlineStr">
        <is>
          <t>Framingham: ¿corresponde aplicarlo?</t>
        </is>
      </c>
      <c r="C101" s="24" t="inlineStr">
        <is>
          <t>Calculados</t>
        </is>
      </c>
      <c r="D101" s="3" t="inlineStr"/>
      <c r="E101" s="24" t="inlineStr">
        <is>
          <t>Sí</t>
        </is>
      </c>
    </row>
    <row r="102">
      <c r="A102" s="24" t="inlineStr">
        <is>
          <t>fh_puntos</t>
        </is>
      </c>
      <c r="B102" s="3" t="inlineStr">
        <is>
          <t>Framingham: puntaje total</t>
        </is>
      </c>
      <c r="C102" s="24" t="inlineStr">
        <is>
          <t>Calculados</t>
        </is>
      </c>
      <c r="D102" s="3" t="inlineStr"/>
      <c r="E102" s="24" t="n">
        <v>7</v>
      </c>
    </row>
    <row r="103">
      <c r="A103" s="24" t="inlineStr">
        <is>
          <t>fh_riesgo</t>
        </is>
      </c>
      <c r="B103" s="3" t="inlineStr">
        <is>
          <t>Framingham: riesgo a 10 años (%)</t>
        </is>
      </c>
      <c r="C103" s="24" t="inlineStr">
        <is>
          <t>Calculados</t>
        </is>
      </c>
      <c r="D103" s="3" t="inlineStr"/>
      <c r="E103" s="24" t="inlineStr">
        <is>
          <t>3</t>
        </is>
      </c>
    </row>
    <row r="104">
      <c r="A104" s="24" t="inlineStr">
        <is>
          <t>fh_categoria</t>
        </is>
      </c>
      <c r="B104" s="3" t="inlineStr">
        <is>
          <t>Framingham: categoría de riesgo</t>
        </is>
      </c>
      <c r="C104" s="24" t="inlineStr">
        <is>
          <t>Calculados</t>
        </is>
      </c>
      <c r="D104" s="3" t="inlineStr">
        <is>
          <t>Bajo; Moderado; Alto</t>
        </is>
      </c>
      <c r="E104" s="24" t="inlineStr">
        <is>
          <t>Bajo</t>
        </is>
      </c>
    </row>
    <row r="105"/>
    <row r="106">
      <c r="A106" s="14" t="inlineStr">
        <is>
          <t>La columna «Ejemplo» muestra el relevamiento de prueba 010-44-4600 (valores ficticios).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2026-10-11T02:53:48Z</dcterms:created>
  <dcterms:modified xmlns:dcterms="http://purl.org/dc/terms/" xmlns:xsi="http://www.w3.org/2001/XMLSchema-instance" xsi:type="dcterms:W3CDTF">2026-10-11T02:53:49Z</dcterms:modified>
</cp:coreProperties>
</file>